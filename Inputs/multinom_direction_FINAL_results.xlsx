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cubator2024_NetworkMobility\models\multinomial_models_for_directions\FINAL_MODEL_RESULTS\"/>
    </mc:Choice>
  </mc:AlternateContent>
  <xr:revisionPtr revIDLastSave="0" documentId="13_ncr:1_{EFF7AD5E-0A25-4E73-9CD0-7B256D814C63}" xr6:coauthVersionLast="36" xr6:coauthVersionMax="36" xr10:uidLastSave="{00000000-0000-0000-0000-000000000000}"/>
  <bookViews>
    <workbookView xWindow="0" yWindow="0" windowWidth="28800" windowHeight="12225" activeTab="4" xr2:uid="{9612853E-4314-4346-98FE-280EFF233217}"/>
  </bookViews>
  <sheets>
    <sheet name="readme" sheetId="7" r:id="rId1"/>
    <sheet name="Q2Q3_comparison" sheetId="3" r:id="rId2"/>
    <sheet name="Q2Q3_model_diagnostic" sheetId="8" r:id="rId3"/>
    <sheet name="Q2Q3_noranking" sheetId="4" r:id="rId4"/>
    <sheet name="Q2Q3_ranking" sheetId="5" r:id="rId5"/>
    <sheet name="proxy_comparison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3" l="1"/>
  <c r="F16" i="8"/>
  <c r="B16" i="8"/>
  <c r="H30" i="3"/>
  <c r="I30" i="3"/>
  <c r="G13" i="3"/>
  <c r="H13" i="3"/>
  <c r="I13" i="3"/>
  <c r="G14" i="3"/>
  <c r="H14" i="3"/>
  <c r="I14" i="3"/>
  <c r="G15" i="3"/>
  <c r="H15" i="3"/>
  <c r="I15" i="3"/>
  <c r="H12" i="3"/>
  <c r="I12" i="3"/>
  <c r="G12" i="3"/>
  <c r="B31" i="3"/>
  <c r="G31" i="3" s="1"/>
  <c r="C31" i="3"/>
  <c r="H31" i="3" s="1"/>
  <c r="D31" i="3"/>
  <c r="I31" i="3" s="1"/>
  <c r="B32" i="3"/>
  <c r="G32" i="3" s="1"/>
  <c r="C32" i="3"/>
  <c r="H32" i="3" s="1"/>
  <c r="D32" i="3"/>
  <c r="I32" i="3" s="1"/>
  <c r="B33" i="3"/>
  <c r="G33" i="3" s="1"/>
  <c r="C33" i="3"/>
  <c r="H33" i="3" s="1"/>
  <c r="D33" i="3"/>
  <c r="I33" i="3" s="1"/>
  <c r="B34" i="3"/>
  <c r="C34" i="3"/>
  <c r="D34" i="3"/>
  <c r="C30" i="3"/>
  <c r="D30" i="3"/>
  <c r="B30" i="3"/>
  <c r="B13" i="3"/>
  <c r="C13" i="3"/>
  <c r="D13" i="3"/>
  <c r="B14" i="3"/>
  <c r="C14" i="3"/>
  <c r="D14" i="3"/>
  <c r="B15" i="3"/>
  <c r="C15" i="3"/>
  <c r="D15" i="3"/>
  <c r="B16" i="3"/>
  <c r="C16" i="3"/>
  <c r="D16" i="3"/>
  <c r="C12" i="3"/>
  <c r="D12" i="3"/>
  <c r="B12" i="3"/>
</calcChain>
</file>

<file path=xl/sharedStrings.xml><?xml version="1.0" encoding="utf-8"?>
<sst xmlns="http://schemas.openxmlformats.org/spreadsheetml/2006/main" count="4355" uniqueCount="3220">
  <si>
    <t>Q1Q3</t>
  </si>
  <si>
    <t>Q1Q4</t>
  </si>
  <si>
    <t>Q2Q4</t>
  </si>
  <si>
    <t>Total</t>
  </si>
  <si>
    <t>1. Low</t>
  </si>
  <si>
    <t>2. Medium</t>
  </si>
  <si>
    <t>3. High</t>
  </si>
  <si>
    <t>A_neither</t>
  </si>
  <si>
    <t>both</t>
  </si>
  <si>
    <t>individual_direction</t>
  </si>
  <si>
    <t>institutional_direction</t>
  </si>
  <si>
    <t>Descriptive frequencies</t>
  </si>
  <si>
    <t>connectedness_cat_cocoauth</t>
  </si>
  <si>
    <t>prob.A_neither</t>
  </si>
  <si>
    <t>prob.both</t>
  </si>
  <si>
    <t>prob.individual_direction</t>
  </si>
  <si>
    <t>prob.institutional_direction</t>
  </si>
  <si>
    <t>logit.A_neither</t>
  </si>
  <si>
    <t>logit.both</t>
  </si>
  <si>
    <t>logit.individual_direction</t>
  </si>
  <si>
    <t>logit.institutional_direction</t>
  </si>
  <si>
    <t>se.prob.A_neither</t>
  </si>
  <si>
    <t>se.prob.both</t>
  </si>
  <si>
    <t>se.prob.individual_direction</t>
  </si>
  <si>
    <t>se.prob.institutional_direction</t>
  </si>
  <si>
    <t>se.logit.A_neither</t>
  </si>
  <si>
    <t>se.logit.both</t>
  </si>
  <si>
    <t>se.logit.individual_direction</t>
  </si>
  <si>
    <t>se.logit.institutional_direction</t>
  </si>
  <si>
    <t>L.prob.A_neither</t>
  </si>
  <si>
    <t>L.prob.both</t>
  </si>
  <si>
    <t>L.prob.individual_direction</t>
  </si>
  <si>
    <t>L.prob.institutional_direction</t>
  </si>
  <si>
    <t>U.prob.A_neither</t>
  </si>
  <si>
    <t>U.prob.both</t>
  </si>
  <si>
    <t>U.prob.individual_direction</t>
  </si>
  <si>
    <t>U.prob.institutional_direction</t>
  </si>
  <si>
    <t>L.logit.A_neither</t>
  </si>
  <si>
    <t>L.logit.both</t>
  </si>
  <si>
    <t>L.logit.individual_direction</t>
  </si>
  <si>
    <t>L.logit.institutional_direction</t>
  </si>
  <si>
    <t>U.logit.A_neither</t>
  </si>
  <si>
    <t>U.logit.both</t>
  </si>
  <si>
    <t>U.logit.individual_direction</t>
  </si>
  <si>
    <t>U.logit.institutional_direction</t>
  </si>
  <si>
    <t>0.62398517993892</t>
  </si>
  <si>
    <t>0.0898667445606424</t>
  </si>
  <si>
    <t>0.127357662621948</t>
  </si>
  <si>
    <t>0.158790412878489</t>
  </si>
  <si>
    <t>0.506498060320301</t>
  </si>
  <si>
    <t>0.0011785013287267</t>
  </si>
  <si>
    <t>0.000635186042263406</t>
  </si>
  <si>
    <t>0.000774772518852921</t>
  </si>
  <si>
    <t>0.000905181118276368</t>
  </si>
  <si>
    <t>0.00502285729057996</t>
  </si>
  <si>
    <t>0.00776599225820225</t>
  </si>
  <si>
    <t>0.00697128516935013</t>
  </si>
  <si>
    <t>0.00677652421563427</t>
  </si>
  <si>
    <t>0.621672555697611</t>
  </si>
  <si>
    <t>0.0886295500711472</t>
  </si>
  <si>
    <t>0.125846852314702</t>
  </si>
  <si>
    <t>0.15702432013123</t>
  </si>
  <si>
    <t>0.626292165590421</t>
  </si>
  <si>
    <t>0.0911194825644555</t>
  </si>
  <si>
    <t>0.128883936264564</t>
  </si>
  <si>
    <t>0.160572585625381</t>
  </si>
  <si>
    <t>0.496653440931279</t>
  </si>
  <si>
    <t>0.516342679709322</t>
  </si>
  <si>
    <t>0.459781533796706</t>
  </si>
  <si>
    <t>0.208687412885893</t>
  </si>
  <si>
    <t>0.222894160236295</t>
  </si>
  <si>
    <t>0.108636893081105</t>
  </si>
  <si>
    <t>-0.161222174645359</t>
  </si>
  <si>
    <t>0.00112882359805941</t>
  </si>
  <si>
    <t>0.00091384151262316</t>
  </si>
  <si>
    <t>0.000925604712941943</t>
  </si>
  <si>
    <t>0.000687179706883791</t>
  </si>
  <si>
    <t>0.00454469904999264</t>
  </si>
  <si>
    <t>0.00553383943136005</t>
  </si>
  <si>
    <t>0.00534375691958954</t>
  </si>
  <si>
    <t>0.00709640403714634</t>
  </si>
  <si>
    <t>0.457569887131523</t>
  </si>
  <si>
    <t>0.206901975228618</t>
  </si>
  <si>
    <t>0.221085274776606</t>
  </si>
  <si>
    <t>0.107297358754246</t>
  </si>
  <si>
    <t>0.46199476563685</t>
  </si>
  <si>
    <t>0.210484168777591</t>
  </si>
  <si>
    <t>0.224713575973719</t>
  </si>
  <si>
    <t>0.109991090095729</t>
  </si>
  <si>
    <t>-0.170129621103918</t>
  </si>
  <si>
    <t>-0.1523147281868</t>
  </si>
  <si>
    <t>0.274392669486229</t>
  </si>
  <si>
    <t>0.348385324831402</t>
  </si>
  <si>
    <t>0.328055430514676</t>
  </si>
  <si>
    <t>0.0491665751676923</t>
  </si>
  <si>
    <t>-0.972448820647966</t>
  </si>
  <si>
    <t>-0.626144275736455</t>
  </si>
  <si>
    <t>-0.716993261658475</t>
  </si>
  <si>
    <t>0.00110848334722712</t>
  </si>
  <si>
    <t>0.00126278002645015</t>
  </si>
  <si>
    <t>0.00120930982555895</t>
  </si>
  <si>
    <t>0.000487179383161609</t>
  </si>
  <si>
    <t>0.00556743309430712</t>
  </si>
  <si>
    <t>0.00556258928147091</t>
  </si>
  <si>
    <t>0.0054860138763518</t>
  </si>
  <si>
    <t>0.0104211225628105</t>
  </si>
  <si>
    <t>0.272225438884444</t>
  </si>
  <si>
    <t>0.345914430261469</t>
  </si>
  <si>
    <t>0.325689623543155</t>
  </si>
  <si>
    <t>0.0482204660554027</t>
  </si>
  <si>
    <t>0.276570596979194</t>
  </si>
  <si>
    <t>0.350864401499753</t>
  </si>
  <si>
    <t>0.33043000148362</t>
  </si>
  <si>
    <t>0.0501302696826752</t>
  </si>
  <si>
    <t>-0.983360788999145</t>
  </si>
  <si>
    <t>-0.637046750388926</t>
  </si>
  <si>
    <t>-0.727745651274812</t>
  </si>
  <si>
    <t>-0.961536852296788</t>
  </si>
  <si>
    <t>-0.615241801083983</t>
  </si>
  <si>
    <t>-0.706240872042139</t>
  </si>
  <si>
    <t>Model without ranking</t>
  </si>
  <si>
    <t>0.483981225134934</t>
  </si>
  <si>
    <t>0.112991356728288</t>
  </si>
  <si>
    <t>0.109888114087915</t>
  </si>
  <si>
    <t>0.293139304048863</t>
  </si>
  <si>
    <t>-0.0640970352963318</t>
  </si>
  <si>
    <t>-0.880185674581871</t>
  </si>
  <si>
    <t>0.00270808632790118</t>
  </si>
  <si>
    <t>0.00152440309057452</t>
  </si>
  <si>
    <t>0.00153352040144617</t>
  </si>
  <si>
    <t>0.00245242629610517</t>
  </si>
  <si>
    <t>0.0108434751042527</t>
  </si>
  <si>
    <t>0.0152099135436579</t>
  </si>
  <si>
    <t>0.0156781291511793</t>
  </si>
  <si>
    <t>0.0118355400069647</t>
  </si>
  <si>
    <t>0.478675479483106</t>
  </si>
  <si>
    <t>0.11003787482217</t>
  </si>
  <si>
    <t>0.106918303850746</t>
  </si>
  <si>
    <t>0.288355805411951</t>
  </si>
  <si>
    <t>0.489290584501141</t>
  </si>
  <si>
    <t>0.116013777937321</t>
  </si>
  <si>
    <t>0.112929984152354</t>
  </si>
  <si>
    <t>0.297968930115096</t>
  </si>
  <si>
    <t>-0.0853498559679237</t>
  </si>
  <si>
    <t>-0.903382906733105</t>
  </si>
  <si>
    <t>-0.0428442146247398</t>
  </si>
  <si>
    <t>-0.856988442430637</t>
  </si>
  <si>
    <t>0.357740780551223</t>
  </si>
  <si>
    <t>0.250496331771028</t>
  </si>
  <si>
    <t>0.209630100168164</t>
  </si>
  <si>
    <t>0.182132787509585</t>
  </si>
  <si>
    <t>-0.585183343351138</t>
  </si>
  <si>
    <t>0.0024292071005069</t>
  </si>
  <si>
    <t>0.00218376899142581</t>
  </si>
  <si>
    <t>0.00198130338607868</t>
  </si>
  <si>
    <t>0.00189019673308429</t>
  </si>
  <si>
    <t>0.0105726959879622</t>
  </si>
  <si>
    <t>0.0116313884956643</t>
  </si>
  <si>
    <t>0.0119582312474756</t>
  </si>
  <si>
    <t>0.0126892535608352</t>
  </si>
  <si>
    <t>0.352993785702292</t>
  </si>
  <si>
    <t>0.246240613862779</t>
  </si>
  <si>
    <t>0.205773241692355</t>
  </si>
  <si>
    <t>0.178457315917457</t>
  </si>
  <si>
    <t>0.362515844570667</t>
  </si>
  <si>
    <t>0.254800737215986</t>
  </si>
  <si>
    <t>0.213539812424258</t>
  </si>
  <si>
    <t>0.185866832087822</t>
  </si>
  <si>
    <t>-0.605905446707035</t>
  </si>
  <si>
    <t>-0.564461239995241</t>
  </si>
  <si>
    <t>0.212441664371195</t>
  </si>
  <si>
    <t>0.388069866395107</t>
  </si>
  <si>
    <t>0.315291377521787</t>
  </si>
  <si>
    <t>0.0841970917119105</t>
  </si>
  <si>
    <t>-0.455432723777573</t>
  </si>
  <si>
    <t>-0.775496159847332</t>
  </si>
  <si>
    <t>0.00215916721320357</t>
  </si>
  <si>
    <t>0.00280481628327076</t>
  </si>
  <si>
    <t>0.00256236051876076</t>
  </si>
  <si>
    <t>0.00135715155609283</t>
  </si>
  <si>
    <t>0.0129051735435786</t>
  </si>
  <si>
    <t>0.0118111628906793</t>
  </si>
  <si>
    <t>0.0118692244659496</t>
  </si>
  <si>
    <t>0.0176006716093118</t>
  </si>
  <si>
    <t>0.208240554753881</t>
  </si>
  <si>
    <t>0.382586979176557</t>
  </si>
  <si>
    <t>0.310290955129424</t>
  </si>
  <si>
    <t>0.081574994457878</t>
  </si>
  <si>
    <t>0.216704331199111</t>
  </si>
  <si>
    <t>0.393581239806247</t>
  </si>
  <si>
    <t>0.320334956270617</t>
  </si>
  <si>
    <t>0.0868954977448774</t>
  </si>
  <si>
    <t>-0.47858217765884</t>
  </si>
  <si>
    <t>-0.798759412325015</t>
  </si>
  <si>
    <t>-0.432283269896305</t>
  </si>
  <si>
    <t>-0.752232907369649</t>
  </si>
  <si>
    <t>Model with ranking</t>
  </si>
  <si>
    <t>Descriptive relative frequencies</t>
  </si>
  <si>
    <t>Difference</t>
  </si>
  <si>
    <t>gender</t>
  </si>
  <si>
    <t>female</t>
  </si>
  <si>
    <t>0.453288304614827</t>
  </si>
  <si>
    <t>0.213732507567113</t>
  </si>
  <si>
    <t>0.228578670797192</t>
  </si>
  <si>
    <t>0.104400517020868</t>
  </si>
  <si>
    <t>-0.187393241291866</t>
  </si>
  <si>
    <t>0.00122461554998226</t>
  </si>
  <si>
    <t>0.000988965138920576</t>
  </si>
  <si>
    <t>0.00100855333332807</t>
  </si>
  <si>
    <t>0.000712585164619238</t>
  </si>
  <si>
    <t>0.00494159206931706</t>
  </si>
  <si>
    <t>0.00588491346898282</t>
  </si>
  <si>
    <t>0.00571967725588141</t>
  </si>
  <si>
    <t>0.00762114619817088</t>
  </si>
  <si>
    <t>0.450889206393109</t>
  </si>
  <si>
    <t>0.211800571935021</t>
  </si>
  <si>
    <t>0.226607959570506</t>
  </si>
  <si>
    <t>0.103012105889636</t>
  </si>
  <si>
    <t>0.455689574596236</t>
  </si>
  <si>
    <t>0.215677243329224</t>
  </si>
  <si>
    <t>0.230561411188481</t>
  </si>
  <si>
    <t>0.105805434005255</t>
  </si>
  <si>
    <t>-0.197078583774017</t>
  </si>
  <si>
    <t>-0.177707898809716</t>
  </si>
  <si>
    <t>male</t>
  </si>
  <si>
    <t>0.473263223926098</t>
  </si>
  <si>
    <t>0.196769064045508</t>
  </si>
  <si>
    <t>0.227309109272934</t>
  </si>
  <si>
    <t>0.10265860275546</t>
  </si>
  <si>
    <t>-0.107049215130417</t>
  </si>
  <si>
    <t>0.000840694759604725</t>
  </si>
  <si>
    <t>0.000683162818334162</t>
  </si>
  <si>
    <t>0.000696416370879636</t>
  </si>
  <si>
    <t>0.000509439103122167</t>
  </si>
  <si>
    <t>0.00337242221257011</t>
  </si>
  <si>
    <t>0.00432242010857961</t>
  </si>
  <si>
    <t>0.0039650287358516</t>
  </si>
  <si>
    <t>0.00553017945655456</t>
  </si>
  <si>
    <t>0.471615789616836</t>
  </si>
  <si>
    <t>0.195433528382152</t>
  </si>
  <si>
    <t>0.225947051549661</t>
  </si>
  <si>
    <t>0.101664411940138</t>
  </si>
  <si>
    <t>0.474911240623268</t>
  </si>
  <si>
    <t>0.198111479077018</t>
  </si>
  <si>
    <t>0.228676952080589</t>
  </si>
  <si>
    <t>0.103661394018214</t>
  </si>
  <si>
    <t>-0.113659041207718</t>
  </si>
  <si>
    <t>-0.100439389053117</t>
  </si>
  <si>
    <t>move_type</t>
  </si>
  <si>
    <t>international move</t>
  </si>
  <si>
    <t>0.596118279335158</t>
  </si>
  <si>
    <t>0.0891427030236588</t>
  </si>
  <si>
    <t>0.26222985398663</t>
  </si>
  <si>
    <t>0.0525091636545526</t>
  </si>
  <si>
    <t>0.389317038172161</t>
  </si>
  <si>
    <t>0.00105788626102679</t>
  </si>
  <si>
    <t>0.000564417664309817</t>
  </si>
  <si>
    <t>0.00094161175233682</t>
  </si>
  <si>
    <t>0.000446892512708598</t>
  </si>
  <si>
    <t>0.00439392196678438</t>
  </si>
  <si>
    <t>0.00695127478420046</t>
  </si>
  <si>
    <t>0.00486708196083538</t>
  </si>
  <si>
    <t>0.0089824117497168</t>
  </si>
  <si>
    <t>0.594043155476609</t>
  </si>
  <si>
    <t>0.0880426394851261</t>
  </si>
  <si>
    <t>0.260388519273286</t>
  </si>
  <si>
    <t>0.0516401391903244</t>
  </si>
  <si>
    <t>0.598189970631541</t>
  </si>
  <si>
    <t>0.0902551511742834</t>
  </si>
  <si>
    <t>0.264079560516075</t>
  </si>
  <si>
    <t>0.0533919891291348</t>
  </si>
  <si>
    <t>0.380705109366384</t>
  </si>
  <si>
    <t>0.397928966977938</t>
  </si>
  <si>
    <t>national move</t>
  </si>
  <si>
    <t>0.358805197476226</t>
  </si>
  <si>
    <t>0.309739553406992</t>
  </si>
  <si>
    <t>0.187120126246757</t>
  </si>
  <si>
    <t>0.144335122870026</t>
  </si>
  <si>
    <t>-0.58055369904501</t>
  </si>
  <si>
    <t>-0.801337191146986</t>
  </si>
  <si>
    <t>0.000847459820764301</t>
  </si>
  <si>
    <t>0.000835960588845909</t>
  </si>
  <si>
    <t>0.000674079769287278</t>
  </si>
  <si>
    <t>0.000626756902555903</t>
  </si>
  <si>
    <t>0.00368358247522741</t>
  </si>
  <si>
    <t>0.0039099945071276</t>
  </si>
  <si>
    <t>0.00443163945673379</t>
  </si>
  <si>
    <t>0.00507485214498798</t>
  </si>
  <si>
    <t>0.357145905409971</t>
  </si>
  <si>
    <t>0.308103494225203</t>
  </si>
  <si>
    <t>0.185802543161649</t>
  </si>
  <si>
    <t>0.143111042350337</t>
  </si>
  <si>
    <t>0.360467875886542</t>
  </si>
  <si>
    <t>0.311380390447596</t>
  </si>
  <si>
    <t>0.18844489020519</t>
  </si>
  <si>
    <t>0.14556789475395</t>
  </si>
  <si>
    <t>-0.587773388030539</t>
  </si>
  <si>
    <t>-0.809000639560706</t>
  </si>
  <si>
    <t>-0.573334010059482</t>
  </si>
  <si>
    <t>-0.793673742733266</t>
  </si>
  <si>
    <t>career_age</t>
  </si>
  <si>
    <t>0.41353781267811</t>
  </si>
  <si>
    <t>0.206850837217417</t>
  </si>
  <si>
    <t>0.25143800968714</t>
  </si>
  <si>
    <t>0.128173340417334</t>
  </si>
  <si>
    <t>-0.349359238575238</t>
  </si>
  <si>
    <t>0.00187398211534663</t>
  </si>
  <si>
    <t>0.00150478032757431</t>
  </si>
  <si>
    <t>0.00166804594391525</t>
  </si>
  <si>
    <t>0.00129348972263465</t>
  </si>
  <si>
    <t>0.00772698732190149</t>
  </si>
  <si>
    <t>0.00917193465080316</t>
  </si>
  <si>
    <t>0.00886235835495489</t>
  </si>
  <si>
    <t>0.0115753767277814</t>
  </si>
  <si>
    <t>0.40986974843079</t>
  </si>
  <si>
    <t>0.203917061515177</t>
  </si>
  <si>
    <t>0.248182835762231</t>
  </si>
  <si>
    <t>0.125659461430274</t>
  </si>
  <si>
    <t>0.417215495532429</t>
  </si>
  <si>
    <t>0.209815696967041</t>
  </si>
  <si>
    <t>0.254721413195373</t>
  </si>
  <si>
    <t>0.13072999129702</t>
  </si>
  <si>
    <t>-0.364503855435162</t>
  </si>
  <si>
    <t>-0.334214621715313</t>
  </si>
  <si>
    <t>0.478404705538086</t>
  </si>
  <si>
    <t>0.200575289270589</t>
  </si>
  <si>
    <t>0.222616239574098</t>
  </si>
  <si>
    <t>0.0984037656172276</t>
  </si>
  <si>
    <t>-0.0864349506390271</t>
  </si>
  <si>
    <t>0.000803401006594381</t>
  </si>
  <si>
    <t>0.000665596363440229</t>
  </si>
  <si>
    <t>0.000663632589846818</t>
  </si>
  <si>
    <t>0.000484865189343159</t>
  </si>
  <si>
    <t>0.00321960997366038</t>
  </si>
  <si>
    <t>0.00415103069502218</t>
  </si>
  <si>
    <t>0.003834735367706</t>
  </si>
  <si>
    <t>0.00546508848791606</t>
  </si>
  <si>
    <t>0.476830288275367</t>
  </si>
  <si>
    <t>0.199273921784624</t>
  </si>
  <si>
    <t>0.22131825574667</t>
  </si>
  <si>
    <t>0.0974575267429006</t>
  </si>
  <si>
    <t>0.479979551959651</t>
  </si>
  <si>
    <t>0.201883012677513</t>
  </si>
  <si>
    <t>0.223919646757512</t>
  </si>
  <si>
    <t>0.0993581803571742</t>
  </si>
  <si>
    <t>-0.0927452702316674</t>
  </si>
  <si>
    <t>-0.0801246310463868</t>
  </si>
  <si>
    <t>0.535781697113064</t>
  </si>
  <si>
    <t>0.191752104121847</t>
  </si>
  <si>
    <t>0.196160216212702</t>
  </si>
  <si>
    <t>0.0763059825523879</t>
  </si>
  <si>
    <t>0.143371874658835</t>
  </si>
  <si>
    <t>0.00243855975402422</t>
  </si>
  <si>
    <t>0.00181656537757913</t>
  </si>
  <si>
    <t>0.00179889376922695</t>
  </si>
  <si>
    <t>0.00106699812282358</t>
  </si>
  <si>
    <t>0.00980445073980998</t>
  </si>
  <si>
    <t>0.0117210444165231</t>
  </si>
  <si>
    <t>0.0114084091805518</t>
  </si>
  <si>
    <t>0.0151382940091018</t>
  </si>
  <si>
    <t>0.530999066483414</t>
  </si>
  <si>
    <t>0.188216890874544</t>
  </si>
  <si>
    <t>0.192658386123939</t>
  </si>
  <si>
    <t>0.0742408177980375</t>
  </si>
  <si>
    <t>0.540557755444501</t>
  </si>
  <si>
    <t>0.195337740199555</t>
  </si>
  <si>
    <t>0.199709951790648</t>
  </si>
  <si>
    <t>0.0784237277220429</t>
  </si>
  <si>
    <t>0.124155504320611</t>
  </si>
  <si>
    <t>0.16258824499706</t>
  </si>
  <si>
    <t>0.599169576996586</t>
  </si>
  <si>
    <t>0.178648138630044</t>
  </si>
  <si>
    <t>0.16634631582491</t>
  </si>
  <si>
    <t>0.0558359685484603</t>
  </si>
  <si>
    <t>0.402006205624302</t>
  </si>
  <si>
    <t>0.00451614048076431</t>
  </si>
  <si>
    <t>0.00328422229358442</t>
  </si>
  <si>
    <t>0.00301686212262554</t>
  </si>
  <si>
    <t>0.00149496823745693</t>
  </si>
  <si>
    <t>0.0188042931030756</t>
  </si>
  <si>
    <t>0.0223823046929089</t>
  </si>
  <si>
    <t>0.0217548754823592</t>
  </si>
  <si>
    <t>0.0283576644948023</t>
  </si>
  <si>
    <t>0.590286642951553</t>
  </si>
  <si>
    <t>0.172301666632581</t>
  </si>
  <si>
    <t>0.16051718643222</t>
  </si>
  <si>
    <t>0.0529771940648053</t>
  </si>
  <si>
    <t>0.607987821126537</t>
  </si>
  <si>
    <t>0.185176074992987</t>
  </si>
  <si>
    <t>0.172343670190205</t>
  </si>
  <si>
    <t>0.0588394245469558</t>
  </si>
  <si>
    <t>0.365150468387539</t>
  </si>
  <si>
    <t>0.438861942861065</t>
  </si>
  <si>
    <t>0.657939203130027</t>
  </si>
  <si>
    <t>0.163429699924139</t>
  </si>
  <si>
    <t>0.138512692770862</t>
  </si>
  <si>
    <t>0.040118404174972</t>
  </si>
  <si>
    <t>0.654124040708289</t>
  </si>
  <si>
    <t>0.00632579103027256</t>
  </si>
  <si>
    <t>0.00458407980565664</t>
  </si>
  <si>
    <t>0.00387223083930562</t>
  </si>
  <si>
    <t>0.00161366057951286</t>
  </si>
  <si>
    <t>0.0281077300244034</t>
  </si>
  <si>
    <t>0.0335288566711477</t>
  </si>
  <si>
    <t>0.0324506039499704</t>
  </si>
  <si>
    <t>0.0419035556126445</t>
  </si>
  <si>
    <t>0.645435247178457</t>
  </si>
  <si>
    <t>0.154642582659361</t>
  </si>
  <si>
    <t>0.131096272991529</t>
  </si>
  <si>
    <t>0.0370724448656691</t>
  </si>
  <si>
    <t>0.670227498902435</t>
  </si>
  <si>
    <t>0.172614166744704</t>
  </si>
  <si>
    <t>0.146278043903453</t>
  </si>
  <si>
    <t>0.0434033462152572</t>
  </si>
  <si>
    <t>0.599033902173283</t>
  </si>
  <si>
    <t>0.709214179243295</t>
  </si>
  <si>
    <t>productivity_cat</t>
  </si>
  <si>
    <t>1 Low</t>
  </si>
  <si>
    <t>0.521982208966783</t>
  </si>
  <si>
    <t>0.171817413276528</t>
  </si>
  <si>
    <t>0.197993371384489</t>
  </si>
  <si>
    <t>0.1082070063722</t>
  </si>
  <si>
    <t>0.0879855533291221</t>
  </si>
  <si>
    <t>0.00110233509198668</t>
  </si>
  <si>
    <t>0.000822633577857345</t>
  </si>
  <si>
    <t>0.000862595532214398</t>
  </si>
  <si>
    <t>0.000665012910078952</t>
  </si>
  <si>
    <t>0.00441787955499764</t>
  </si>
  <si>
    <t>0.00578113566623524</t>
  </si>
  <si>
    <t>0.00543223558154177</t>
  </si>
  <si>
    <t>0.0068914504572408</t>
  </si>
  <si>
    <t>0.519821274073744</t>
  </si>
  <si>
    <t>0.170211071582965</t>
  </si>
  <si>
    <t>0.196308149890521</t>
  </si>
  <si>
    <t>0.106910485846908</t>
  </si>
  <si>
    <t>0.524142321390698</t>
  </si>
  <si>
    <t>0.173435746042274</t>
  </si>
  <si>
    <t>0.199689465261344</t>
  </si>
  <si>
    <t>0.109517321923216</t>
  </si>
  <si>
    <t>0.0793266685132909</t>
  </si>
  <si>
    <t>0.0966444381449533</t>
  </si>
  <si>
    <t>2 Medium</t>
  </si>
  <si>
    <t>0.470793090900802</t>
  </si>
  <si>
    <t>0.197716332625113</t>
  </si>
  <si>
    <t>0.225837761210506</t>
  </si>
  <si>
    <t>0.105652815263579</t>
  </si>
  <si>
    <t>-0.116960787852082</t>
  </si>
  <si>
    <t>0.00128393852672063</t>
  </si>
  <si>
    <t>0.00100936074616012</t>
  </si>
  <si>
    <t>0.00105074369959986</t>
  </si>
  <si>
    <t>0.000758487873317382</t>
  </si>
  <si>
    <t>0.00515333819428884</t>
  </si>
  <si>
    <t>0.00636320498322353</t>
  </si>
  <si>
    <t>0.00600991390743159</t>
  </si>
  <si>
    <t>0.00802715083189475</t>
  </si>
  <si>
    <t>0.468277381152092</t>
  </si>
  <si>
    <t>0.195745477539195</t>
  </si>
  <si>
    <t>0.223784994375216</t>
  </si>
  <si>
    <t>0.10417540303681</t>
  </si>
  <si>
    <t>0.473310285344715</t>
  </si>
  <si>
    <t>0.199702103907639</t>
  </si>
  <si>
    <t>0.227903829323083</t>
  </si>
  <si>
    <t>0.107148673982363</t>
  </si>
  <si>
    <t>-0.127061145113043</t>
  </si>
  <si>
    <t>-0.106860430591122</t>
  </si>
  <si>
    <t>3 High</t>
  </si>
  <si>
    <t>0.388908731920417</t>
  </si>
  <si>
    <t>0.248925192685322</t>
  </si>
  <si>
    <t>0.269697668279675</t>
  </si>
  <si>
    <t>0.0924684071145853</t>
  </si>
  <si>
    <t>-0.451901629164165</t>
  </si>
  <si>
    <t>-0.9961570169454</t>
  </si>
  <si>
    <t>0.00129585956205386</t>
  </si>
  <si>
    <t>0.00112843536243366</t>
  </si>
  <si>
    <t>0.00114231759430011</t>
  </si>
  <si>
    <t>0.000758741387266525</t>
  </si>
  <si>
    <t>0.00545260660612254</t>
  </si>
  <si>
    <t>0.00603565823841493</t>
  </si>
  <si>
    <t>0.00579971946441098</t>
  </si>
  <si>
    <t>0.00904146166532632</t>
  </si>
  <si>
    <t>0.386371929742813</t>
  </si>
  <si>
    <t>0.246720075223295</t>
  </si>
  <si>
    <t>0.267464636838687</t>
  </si>
  <si>
    <t>0.0909920023212716</t>
  </si>
  <si>
    <t>0.391451564698397</t>
  </si>
  <si>
    <t>0.251143447998756</t>
  </si>
  <si>
    <t>0.271942421997926</t>
  </si>
  <si>
    <t>0.093966291191852</t>
  </si>
  <si>
    <t>-0.462588541734031</t>
  </si>
  <si>
    <t>-0.4412147165943</t>
  </si>
  <si>
    <t>-0.984789775674718</t>
  </si>
  <si>
    <t>Cohort</t>
  </si>
  <si>
    <t>1996-2000</t>
  </si>
  <si>
    <t>0.476689387943081</t>
  </si>
  <si>
    <t>0.161977754682683</t>
  </si>
  <si>
    <t>0.234161173650314</t>
  </si>
  <si>
    <t>0.127171683723922</t>
  </si>
  <si>
    <t>-0.0933100918167105</t>
  </si>
  <si>
    <t>0.0025938001617806</t>
  </si>
  <si>
    <t>0.0017230792751216</t>
  </si>
  <si>
    <t>0.0021864703195547</t>
  </si>
  <si>
    <t>0.00171077581348129</t>
  </si>
  <si>
    <t>0.0103978006675825</t>
  </si>
  <si>
    <t>0.0126938785014834</t>
  </si>
  <si>
    <t>0.0121924594484473</t>
  </si>
  <si>
    <t>0.0154125270995548</t>
  </si>
  <si>
    <t>0.471608222728708</t>
  </si>
  <si>
    <t>0.158628917286255</t>
  </si>
  <si>
    <t>0.22990302392077</t>
  </si>
  <si>
    <t>0.123856216963095</t>
  </si>
  <si>
    <t>0.481775382943496</t>
  </si>
  <si>
    <t>0.165383393207985</t>
  </si>
  <si>
    <t>0.238473768089639</t>
  </si>
  <si>
    <t>0.130562675540888</t>
  </si>
  <si>
    <t>-0.113689406643599</t>
  </si>
  <si>
    <t>-0.0729307769898223</t>
  </si>
  <si>
    <t>2001-2005</t>
  </si>
  <si>
    <t>0.466710066967482</t>
  </si>
  <si>
    <t>0.196878067626984</t>
  </si>
  <si>
    <t>0.234615604978184</t>
  </si>
  <si>
    <t>0.10179626042735</t>
  </si>
  <si>
    <t>-0.13335701742901</t>
  </si>
  <si>
    <t>0.0015839709805922</t>
  </si>
  <si>
    <t>0.00120976841419327</t>
  </si>
  <si>
    <t>0.00131894156896502</t>
  </si>
  <si>
    <t>0.00090432372634213</t>
  </si>
  <si>
    <t>0.00636409518349486</t>
  </si>
  <si>
    <t>0.00765109187573113</t>
  </si>
  <si>
    <t>0.00734495361959984</t>
  </si>
  <si>
    <t>0.00989047711507325</t>
  </si>
  <si>
    <t>0.463606869694447</t>
  </si>
  <si>
    <t>0.194517738391719</t>
  </si>
  <si>
    <t>0.232040409838047</t>
  </si>
  <si>
    <t>0.100037450127418</t>
  </si>
  <si>
    <t>0.469815842411997</t>
  </si>
  <si>
    <t>0.19925995255047</t>
  </si>
  <si>
    <t>0.237210551956186</t>
  </si>
  <si>
    <t>0.103582434209092</t>
  </si>
  <si>
    <t>-0.145830414782845</t>
  </si>
  <si>
    <t>-0.120883620075175</t>
  </si>
  <si>
    <t>2006-2010</t>
  </si>
  <si>
    <t>0.458267410298098</t>
  </si>
  <si>
    <t>0.226258831664366</t>
  </si>
  <si>
    <t>0.224184567758954</t>
  </si>
  <si>
    <t>0.0912891902785823</t>
  </si>
  <si>
    <t>-0.167319623744581</t>
  </si>
  <si>
    <t>0.00194704663515476</t>
  </si>
  <si>
    <t>0.00161453754561159</t>
  </si>
  <si>
    <t>0.00157149366548901</t>
  </si>
  <si>
    <t>0.00099588361144595</t>
  </si>
  <si>
    <t>0.00784282306693023</t>
  </si>
  <si>
    <t>0.00922246262175528</t>
  </si>
  <si>
    <t>0.00903542336889054</t>
  </si>
  <si>
    <t>0.0120050379224342</t>
  </si>
  <si>
    <t>0.454453790541755</t>
  </si>
  <si>
    <t>0.223110062261581</t>
  </si>
  <si>
    <t>0.221119547793835</t>
  </si>
  <si>
    <t>0.0893559746842602</t>
  </si>
  <si>
    <t>0.462085925963704</t>
  </si>
  <si>
    <t>0.229438915772542</t>
  </si>
  <si>
    <t>0.227279675739463</t>
  </si>
  <si>
    <t>0.0932599476229709</t>
  </si>
  <si>
    <t>-0.182691274492884</t>
  </si>
  <si>
    <t>-0.151947972996277</t>
  </si>
  <si>
    <t>2011-2015</t>
  </si>
  <si>
    <t>0.45096798770342</t>
  </si>
  <si>
    <t>0.254794677374585</t>
  </si>
  <si>
    <t>0.209873932838996</t>
  </si>
  <si>
    <t>0.0843634020829991</t>
  </si>
  <si>
    <t>-0.196760393722213</t>
  </si>
  <si>
    <t>0.00325653699897937</t>
  </si>
  <si>
    <t>0.0028855159472445</t>
  </si>
  <si>
    <t>0.00248381871582511</t>
  </si>
  <si>
    <t>0.00150020898265517</t>
  </si>
  <si>
    <t>0.0131526309676473</t>
  </si>
  <si>
    <t>0.0151969760578511</t>
  </si>
  <si>
    <t>0.01497838551988</t>
  </si>
  <si>
    <t>0.0194211317049691</t>
  </si>
  <si>
    <t>0.44459370243831</t>
  </si>
  <si>
    <t>0.249180587984629</t>
  </si>
  <si>
    <t>0.205047194839791</t>
  </si>
  <si>
    <t>0.081469185616983</t>
  </si>
  <si>
    <t>0.457358406414586</t>
  </si>
  <si>
    <t>0.260491369737744</t>
  </si>
  <si>
    <t>0.214783592300348</t>
  </si>
  <si>
    <t>0.0873506586301879</t>
  </si>
  <si>
    <t>-0.222539076720748</t>
  </si>
  <si>
    <t>-0.170981710723678</t>
  </si>
  <si>
    <t>2016-2020</t>
  </si>
  <si>
    <t>0.439796039640355</t>
  </si>
  <si>
    <t>0.290723270792382</t>
  </si>
  <si>
    <t>0.201123120153974</t>
  </si>
  <si>
    <t>0.0683575694132891</t>
  </si>
  <si>
    <t>-0.241989859177376</t>
  </si>
  <si>
    <t>-0.891873904313585</t>
  </si>
  <si>
    <t>0.00609548850718382</t>
  </si>
  <si>
    <t>0.00561955910193687</t>
  </si>
  <si>
    <t>0.00440654471760062</t>
  </si>
  <si>
    <t>0.00230276295824079</t>
  </si>
  <si>
    <t>0.0247406455751086</t>
  </si>
  <si>
    <t>0.0272525243188647</t>
  </si>
  <si>
    <t>0.0274256122345983</t>
  </si>
  <si>
    <t>0.0361587462015764</t>
  </si>
  <si>
    <t>0.427886204113825</t>
  </si>
  <si>
    <t>0.279833455939745</t>
  </si>
  <si>
    <t>0.192625024262457</t>
  </si>
  <si>
    <t>0.0639799813151521</t>
  </si>
  <si>
    <t>0.451775602701477</t>
  </si>
  <si>
    <t>0.301859237925682</t>
  </si>
  <si>
    <t>0.209898660441873</t>
  </si>
  <si>
    <t>0.0730113142976295</t>
  </si>
  <si>
    <t>-0.290480633458859</t>
  </si>
  <si>
    <t>-0.945287870466362</t>
  </si>
  <si>
    <t>-0.193499084895893</t>
  </si>
  <si>
    <t>-0.838459938160808</t>
  </si>
  <si>
    <t>period_of_move</t>
  </si>
  <si>
    <t>0.419791802156229</t>
  </si>
  <si>
    <t>0.272591451281204</t>
  </si>
  <si>
    <t>0.256604121117089</t>
  </si>
  <si>
    <t>0.0510126254454782</t>
  </si>
  <si>
    <t>-0.32362812170752</t>
  </si>
  <si>
    <t>-0.981514126081688</t>
  </si>
  <si>
    <t>0.00428707671939382</t>
  </si>
  <si>
    <t>0.00412212966492985</t>
  </si>
  <si>
    <t>0.00378408021581725</t>
  </si>
  <si>
    <t>0.00123608463330796</t>
  </si>
  <si>
    <t>0.0176012471634509</t>
  </si>
  <si>
    <t>0.0207888763541222</t>
  </si>
  <si>
    <t>0.0198370257901148</t>
  </si>
  <si>
    <t>0.0255334851476096</t>
  </si>
  <si>
    <t>0.411413300482486</t>
  </si>
  <si>
    <t>0.264587496461342</t>
  </si>
  <si>
    <t>0.249257904256575</t>
  </si>
  <si>
    <t>0.0486436676412568</t>
  </si>
  <si>
    <t>0.428216794608771</t>
  </si>
  <si>
    <t>0.280745099534749</t>
  </si>
  <si>
    <t>0.264090685828737</t>
  </si>
  <si>
    <t>0.053490465374258</t>
  </si>
  <si>
    <t>-0.358125932230872</t>
  </si>
  <si>
    <t>-0.289130311184169</t>
  </si>
  <si>
    <t>-0.940768677148552</t>
  </si>
  <si>
    <t>0.456485860325868</t>
  </si>
  <si>
    <t>0.230261211658929</t>
  </si>
  <si>
    <t>0.242689080696595</t>
  </si>
  <si>
    <t>0.0705638473186087</t>
  </si>
  <si>
    <t>-0.174497996721788</t>
  </si>
  <si>
    <t>0.00291656997962653</t>
  </si>
  <si>
    <t>0.0024575987747589</t>
  </si>
  <si>
    <t>0.00246044976781257</t>
  </si>
  <si>
    <t>0.00115769509597795</t>
  </si>
  <si>
    <t>0.0117553137408862</t>
  </si>
  <si>
    <t>0.0138658604272685</t>
  </si>
  <si>
    <t>0.0133872091242613</t>
  </si>
  <si>
    <t>0.0176519374807763</t>
  </si>
  <si>
    <t>0.450775465858542</t>
  </si>
  <si>
    <t>0.225479751726928</t>
  </si>
  <si>
    <t>0.237899300468445</t>
  </si>
  <si>
    <t>0.0683282445736731</t>
  </si>
  <si>
    <t>0.462207715864621</t>
  </si>
  <si>
    <t>0.235113286639935</t>
  </si>
  <si>
    <t>0.247543972605898</t>
  </si>
  <si>
    <t>0.072866875005176</t>
  </si>
  <si>
    <t>-0.197537988280894</t>
  </si>
  <si>
    <t>-0.151458005162683</t>
  </si>
  <si>
    <t>0.477048576972321</t>
  </si>
  <si>
    <t>0.204262906967859</t>
  </si>
  <si>
    <t>0.222600825049449</t>
  </si>
  <si>
    <t>0.0960876910103708</t>
  </si>
  <si>
    <t>-0.0918702541313987</t>
  </si>
  <si>
    <t>0.00163990614578432</t>
  </si>
  <si>
    <t>0.00128638700961374</t>
  </si>
  <si>
    <t>0.00132617187060604</t>
  </si>
  <si>
    <t>0.000885776617180173</t>
  </si>
  <si>
    <t>0.00657347536426068</t>
  </si>
  <si>
    <t>0.00791430047052066</t>
  </si>
  <si>
    <t>0.00766353185212398</t>
  </si>
  <si>
    <t>0.010198355663255</t>
  </si>
  <si>
    <t>0.473835414570185</t>
  </si>
  <si>
    <t>0.201753198114751</t>
  </si>
  <si>
    <t>0.220012409511906</t>
  </si>
  <si>
    <t>0.094365561801448</t>
  </si>
  <si>
    <t>0.480263640180709</t>
  </si>
  <si>
    <t>0.206795747538517</t>
  </si>
  <si>
    <t>0.225210900231826</t>
  </si>
  <si>
    <t>0.0978378530542356</t>
  </si>
  <si>
    <t>-0.104754029098611</t>
  </si>
  <si>
    <t>-0.0789864791641865</t>
  </si>
  <si>
    <t>0.472726809353395</t>
  </si>
  <si>
    <t>0.187477789875194</t>
  </si>
  <si>
    <t>0.212866772859282</t>
  </si>
  <si>
    <t>0.126928627912129</t>
  </si>
  <si>
    <t>-0.109201150991584</t>
  </si>
  <si>
    <t>0.00169156546019927</t>
  </si>
  <si>
    <t>0.00125109656761058</t>
  </si>
  <si>
    <t>0.00133333981410435</t>
  </si>
  <si>
    <t>0.00112660959427756</t>
  </si>
  <si>
    <t>0.00678645362861669</t>
  </si>
  <si>
    <t>0.00821307457669989</t>
  </si>
  <si>
    <t>0.00795764802227567</t>
  </si>
  <si>
    <t>0.0101663278741164</t>
  </si>
  <si>
    <t>0.469412653100218</t>
  </si>
  <si>
    <t>0.185038012312755</t>
  </si>
  <si>
    <t>0.210265178385615</t>
  </si>
  <si>
    <t>0.124736878968496</t>
  </si>
  <si>
    <t>0.476043370972042</t>
  </si>
  <si>
    <t>0.189942238957176</t>
  </si>
  <si>
    <t>0.215491773284705</t>
  </si>
  <si>
    <t>0.129153205346749</t>
  </si>
  <si>
    <t>-0.122502355686424</t>
  </si>
  <si>
    <t>-0.0958999462967441</t>
  </si>
  <si>
    <t>0.460971823984997</t>
  </si>
  <si>
    <t>0.172113527927298</t>
  </si>
  <si>
    <t>0.223734492667987</t>
  </si>
  <si>
    <t>0.143180155419718</t>
  </si>
  <si>
    <t>-0.156430922362737</t>
  </si>
  <si>
    <t>0.00286901496160555</t>
  </si>
  <si>
    <t>0.00194068388284188</t>
  </si>
  <si>
    <t>0.00232010686336343</t>
  </si>
  <si>
    <t>0.00210453968584628</t>
  </si>
  <si>
    <t>0.0115464097434938</t>
  </si>
  <si>
    <t>0.0136197459348665</t>
  </si>
  <si>
    <t>0.0133587172041818</t>
  </si>
  <si>
    <t>0.0171547650248562</t>
  </si>
  <si>
    <t>0.455353859702102</t>
  </si>
  <si>
    <t>0.168343082769873</t>
  </si>
  <si>
    <t>0.219220079005787</t>
  </si>
  <si>
    <t>0.139104612692511</t>
  </si>
  <si>
    <t>0.466599720514193</t>
  </si>
  <si>
    <t>0.175950554829873</t>
  </si>
  <si>
    <t>0.228314687060458</t>
  </si>
  <si>
    <t>0.147354666820899</t>
  </si>
  <si>
    <t>-0.179061469610727</t>
  </si>
  <si>
    <t>-0.133800375114746</t>
  </si>
  <si>
    <t>asjc_top</t>
  </si>
  <si>
    <t>Health Sciences</t>
  </si>
  <si>
    <t>0.381713755062688</t>
  </si>
  <si>
    <t>0.286011292155693</t>
  </si>
  <si>
    <t>0.248437062604298</t>
  </si>
  <si>
    <t>0.083837890177321</t>
  </si>
  <si>
    <t>-0.482280534313213</t>
  </si>
  <si>
    <t>-0.914835853768133</t>
  </si>
  <si>
    <t>0.0012246194835911</t>
  </si>
  <si>
    <t>0.00113259661579937</t>
  </si>
  <si>
    <t>0.00107135775558195</t>
  </si>
  <si>
    <t>0.000639860371626198</t>
  </si>
  <si>
    <t>0.00518888170526489</t>
  </si>
  <si>
    <t>0.00554626653329004</t>
  </si>
  <si>
    <t>0.00573789738218748</t>
  </si>
  <si>
    <t>0.00833052835391588</t>
  </si>
  <si>
    <t>0.37931644953801</t>
  </si>
  <si>
    <t>0.28379661707797</t>
  </si>
  <si>
    <t>0.246343185833413</t>
  </si>
  <si>
    <t>0.0825922783754924</t>
  </si>
  <si>
    <t>0.38411683527503</t>
  </si>
  <si>
    <t>0.288236294534214</t>
  </si>
  <si>
    <t>0.250542820414995</t>
  </si>
  <si>
    <t>0.0851005450257056</t>
  </si>
  <si>
    <t>-0.492450555575571</t>
  </si>
  <si>
    <t>-0.925706336422041</t>
  </si>
  <si>
    <t>-0.472110513050855</t>
  </si>
  <si>
    <t>-0.903965371114225</t>
  </si>
  <si>
    <t>Life Sciences</t>
  </si>
  <si>
    <t>0.427575072073739</t>
  </si>
  <si>
    <t>0.220188602531053</t>
  </si>
  <si>
    <t>0.256943091902731</t>
  </si>
  <si>
    <t>0.0952932334924778</t>
  </si>
  <si>
    <t>-0.291751716420556</t>
  </si>
  <si>
    <t>0.00132197717884511</t>
  </si>
  <si>
    <t>0.00109310334384434</t>
  </si>
  <si>
    <t>0.00114141688872933</t>
  </si>
  <si>
    <t>0.000743143371128037</t>
  </si>
  <si>
    <t>0.00540123461543918</t>
  </si>
  <si>
    <t>0.00636614914954661</t>
  </si>
  <si>
    <t>0.00597840417080365</t>
  </si>
  <si>
    <t>0.00861990949606035</t>
  </si>
  <si>
    <t>0.42498605361121</t>
  </si>
  <si>
    <t>0.218053640889657</t>
  </si>
  <si>
    <t>0.254712334649141</t>
  </si>
  <si>
    <t>0.0938466247076749</t>
  </si>
  <si>
    <t>0.430168063580437</t>
  </si>
  <si>
    <t>0.222338523898311</t>
  </si>
  <si>
    <t>0.259186591734234</t>
  </si>
  <si>
    <t>0.096759760087983</t>
  </si>
  <si>
    <t>-0.302337941738868</t>
  </si>
  <si>
    <t>-0.281165491102244</t>
  </si>
  <si>
    <t>Physical Sciences</t>
  </si>
  <si>
    <t>0.480191513688768</t>
  </si>
  <si>
    <t>0.182963259915912</t>
  </si>
  <si>
    <t>0.221307326225984</t>
  </si>
  <si>
    <t>0.115537900169336</t>
  </si>
  <si>
    <t>-0.079275437003239</t>
  </si>
  <si>
    <t>0.00110817807663233</t>
  </si>
  <si>
    <t>0.000847317804366281</t>
  </si>
  <si>
    <t>0.000898499054903089</t>
  </si>
  <si>
    <t>0.000698876035980665</t>
  </si>
  <si>
    <t>0.00443968040499127</t>
  </si>
  <si>
    <t>0.00566814375730852</t>
  </si>
  <si>
    <t>0.00521381653121758</t>
  </si>
  <si>
    <t>0.00683906058706244</t>
  </si>
  <si>
    <t>0.478019912582303</t>
  </si>
  <si>
    <t>0.181308393120049</t>
  </si>
  <si>
    <t>0.219551316712324</t>
  </si>
  <si>
    <t>0.114175171467559</t>
  </si>
  <si>
    <t>0.482363863539072</t>
  </si>
  <si>
    <t>0.184629824921798</t>
  </si>
  <si>
    <t>0.223073366204558</t>
  </si>
  <si>
    <t>0.11691474692516</t>
  </si>
  <si>
    <t>-0.0879770506998901</t>
  </si>
  <si>
    <t>-0.0705738233065879</t>
  </si>
  <si>
    <t>Social Sciences</t>
  </si>
  <si>
    <t>0.75335251135859</t>
  </si>
  <si>
    <t>0.04759526927492</t>
  </si>
  <si>
    <t>0.0895394469852394</t>
  </si>
  <si>
    <t>0.109512772381251</t>
  </si>
  <si>
    <t>0.00181445730282761</t>
  </si>
  <si>
    <t>0.000762194112946731</t>
  </si>
  <si>
    <t>0.00122459017300324</t>
  </si>
  <si>
    <t>0.00125583058571146</t>
  </si>
  <si>
    <t>0.00976499026769973</t>
  </si>
  <si>
    <t>0.0168143567604534</t>
  </si>
  <si>
    <t>0.0150215666178704</t>
  </si>
  <si>
    <t>0.0128777084313303</t>
  </si>
  <si>
    <t>0.749779021905904</t>
  </si>
  <si>
    <t>0.0461234728331316</t>
  </si>
  <si>
    <t>0.0871681223124025</t>
  </si>
  <si>
    <t>0.107075540012664</t>
  </si>
  <si>
    <t>0.756891513951084</t>
  </si>
  <si>
    <t>0.0491116125756362</t>
  </si>
  <si>
    <t>0.0919687818473236</t>
  </si>
  <si>
    <t>0.11199852228499</t>
  </si>
  <si>
    <t>Unknown</t>
  </si>
  <si>
    <t>0.219338829462254</t>
  </si>
  <si>
    <t>0.390067049525187</t>
  </si>
  <si>
    <t>0.237144974551064</t>
  </si>
  <si>
    <t>0.153449146461495</t>
  </si>
  <si>
    <t>-0.447030387665331</t>
  </si>
  <si>
    <t>0.0126010111524608</t>
  </si>
  <si>
    <t>0.0156590459139373</t>
  </si>
  <si>
    <t>0.0132817074373738</t>
  </si>
  <si>
    <t>0.0105527700499116</t>
  </si>
  <si>
    <t>0.0735914391484894</t>
  </si>
  <si>
    <t>0.0658178870830335</t>
  </si>
  <si>
    <t>0.073417226202145</t>
  </si>
  <si>
    <t>0.0812360775940845</t>
  </si>
  <si>
    <t>0.19564166960136</t>
  </si>
  <si>
    <t>0.359846353453233</t>
  </si>
  <si>
    <t>0.212103651671967</t>
  </si>
  <si>
    <t>0.133886812374954</t>
  </si>
  <si>
    <t>0.245031927077273</t>
  </si>
  <si>
    <t>0.421156000099704</t>
  </si>
  <si>
    <t>0.264151543925578</t>
  </si>
  <si>
    <t>0.175291271349314</t>
  </si>
  <si>
    <t>-0.576031075886601</t>
  </si>
  <si>
    <t>-0.318029699444062</t>
  </si>
  <si>
    <t>Current_continent</t>
  </si>
  <si>
    <t>Africa</t>
  </si>
  <si>
    <t>0.471412993198281</t>
  </si>
  <si>
    <t>0.170430254162089</t>
  </si>
  <si>
    <t>0.227564197371392</t>
  </si>
  <si>
    <t>0.130592555268239</t>
  </si>
  <si>
    <t>-0.114472868347929</t>
  </si>
  <si>
    <t>0.00594206334111505</t>
  </si>
  <si>
    <t>0.00531550662837414</t>
  </si>
  <si>
    <t>0.00474163824463086</t>
  </si>
  <si>
    <t>0.00454523079150646</t>
  </si>
  <si>
    <t>0.0238462034518279</t>
  </si>
  <si>
    <t>0.0375962966159096</t>
  </si>
  <si>
    <t>0.0269750393103421</t>
  </si>
  <si>
    <t>0.0400326339716655</t>
  </si>
  <si>
    <t>0.459784416615426</t>
  </si>
  <si>
    <t>0.160263552198672</t>
  </si>
  <si>
    <t>0.218404819662822</t>
  </si>
  <si>
    <t>0.12193931653969</t>
  </si>
  <si>
    <t>0.483072679355322</t>
  </si>
  <si>
    <t>0.181102811446904</t>
  </si>
  <si>
    <t>0.236991225936107</t>
  </si>
  <si>
    <t>0.139762116564959</t>
  </si>
  <si>
    <t>-0.161210568281526</t>
  </si>
  <si>
    <t>-0.0677351684143314</t>
  </si>
  <si>
    <t>Asia</t>
  </si>
  <si>
    <t>0.523908925147556</t>
  </si>
  <si>
    <t>0.16478370547622</t>
  </si>
  <si>
    <t>0.23245388113283</t>
  </si>
  <si>
    <t>0.0788534882433938</t>
  </si>
  <si>
    <t>0.0957086925914684</t>
  </si>
  <si>
    <t>0.00170786318066368</t>
  </si>
  <si>
    <t>0.00140044347695903</t>
  </si>
  <si>
    <t>0.00132896459703119</t>
  </si>
  <si>
    <t>0.000994334400719088</t>
  </si>
  <si>
    <t>0.00684710895777825</t>
  </si>
  <si>
    <t>0.0101754204156541</t>
  </si>
  <si>
    <t>0.0074485567330777</t>
  </si>
  <si>
    <t>0.0136893504931847</t>
  </si>
  <si>
    <t>0.520560550717016</t>
  </si>
  <si>
    <t>0.162057204740113</t>
  </si>
  <si>
    <t>0.229859338438508</t>
  </si>
  <si>
    <t>0.0769265182710507</t>
  </si>
  <si>
    <t>0.527255151581674</t>
  </si>
  <si>
    <t>0.167546905688592</t>
  </si>
  <si>
    <t>0.235068770882832</t>
  </si>
  <si>
    <t>0.0808245013317238</t>
  </si>
  <si>
    <t>0.0822886056360015</t>
  </si>
  <si>
    <t>0.109128779546935</t>
  </si>
  <si>
    <t>Australia</t>
  </si>
  <si>
    <t>0.440695187695453</t>
  </si>
  <si>
    <t>0.23278864843573</t>
  </si>
  <si>
    <t>0.217027571589661</t>
  </si>
  <si>
    <t>0.109488592279156</t>
  </si>
  <si>
    <t>-0.238341153841944</t>
  </si>
  <si>
    <t>0.00409666682002972</t>
  </si>
  <si>
    <t>0.00387216708570104</t>
  </si>
  <si>
    <t>0.00314910193008924</t>
  </si>
  <si>
    <t>0.00277574742461672</t>
  </si>
  <si>
    <t>0.0166204883498325</t>
  </si>
  <si>
    <t>0.0216808981985975</t>
  </si>
  <si>
    <t>0.0185321300013332</t>
  </si>
  <si>
    <t>0.0284689589555706</t>
  </si>
  <si>
    <t>0.432682057330287</t>
  </si>
  <si>
    <t>0.225285664431473</t>
  </si>
  <si>
    <t>0.210918902998456</t>
  </si>
  <si>
    <t>0.104165595371043</t>
  </si>
  <si>
    <t>0.448739336172178</t>
  </si>
  <si>
    <t>0.240463953252293</t>
  </si>
  <si>
    <t>0.2232631025274</t>
  </si>
  <si>
    <t>0.115048667736515</t>
  </si>
  <si>
    <t>-0.270916712413083</t>
  </si>
  <si>
    <t>-0.205765595270804</t>
  </si>
  <si>
    <t>Europe</t>
  </si>
  <si>
    <t>0.441582452100264</t>
  </si>
  <si>
    <t>0.21512458314858</t>
  </si>
  <si>
    <t>0.243771962437327</t>
  </si>
  <si>
    <t>0.0995210023138291</t>
  </si>
  <si>
    <t>-0.234742219194721</t>
  </si>
  <si>
    <t>0.00155861151718142</t>
  </si>
  <si>
    <t>0.00146724126209145</t>
  </si>
  <si>
    <t>0.00126426374429714</t>
  </si>
  <si>
    <t>0.00105008527044932</t>
  </si>
  <si>
    <t>0.00632072676776331</t>
  </si>
  <si>
    <t>0.00868981965375654</t>
  </si>
  <si>
    <t>0.00685805802259528</t>
  </si>
  <si>
    <t>0.0117175344044449</t>
  </si>
  <si>
    <t>0.438529877848352</t>
  </si>
  <si>
    <t>0.212262797458312</t>
  </si>
  <si>
    <t>0.241302592969114</t>
  </si>
  <si>
    <t>0.0974817186985637</t>
  </si>
  <si>
    <t>0.444639447789958</t>
  </si>
  <si>
    <t>0.218014273880404</t>
  </si>
  <si>
    <t>0.246258399949029</t>
  </si>
  <si>
    <t>0.10159814459338</t>
  </si>
  <si>
    <t>-0.247130616015656</t>
  </si>
  <si>
    <t>-0.222353822373787</t>
  </si>
  <si>
    <t>Europe/Asia</t>
  </si>
  <si>
    <t>0.382594717217609</t>
  </si>
  <si>
    <t>0.23835531676424</t>
  </si>
  <si>
    <t>0.308649476574944</t>
  </si>
  <si>
    <t>0.0704004894432062</t>
  </si>
  <si>
    <t>-0.478549419205443</t>
  </si>
  <si>
    <t>-0.806440711954706</t>
  </si>
  <si>
    <t>0.00897364322938841</t>
  </si>
  <si>
    <t>0.0104487476778376</t>
  </si>
  <si>
    <t>0.00857735214955126</t>
  </si>
  <si>
    <t>0.00524872952528945</t>
  </si>
  <si>
    <t>0.0379891423338889</t>
  </si>
  <si>
    <t>0.0575555201539573</t>
  </si>
  <si>
    <t>0.0401966073840175</t>
  </si>
  <si>
    <t>0.0802015254329976</t>
  </si>
  <si>
    <t>0.365167097133213</t>
  </si>
  <si>
    <t>0.218483731437979</t>
  </si>
  <si>
    <t>0.292096281461861</t>
  </si>
  <si>
    <t>0.0607824667577562</t>
  </si>
  <si>
    <t>0.40032957472351</t>
  </si>
  <si>
    <t>0.25943428940094</t>
  </si>
  <si>
    <t>0.325709134980963</t>
  </si>
  <si>
    <t>0.0814085213649886</t>
  </si>
  <si>
    <t>-0.553006769983431</t>
  </si>
  <si>
    <t>-0.885224614728077</t>
  </si>
  <si>
    <t>-0.404092068427455</t>
  </si>
  <si>
    <t>-0.727656809181335</t>
  </si>
  <si>
    <t>North America</t>
  </si>
  <si>
    <t>0.446843700878081</t>
  </si>
  <si>
    <t>0.219472936361254</t>
  </si>
  <si>
    <t>0.208929027871485</t>
  </si>
  <si>
    <t>0.124754334889181</t>
  </si>
  <si>
    <t>-0.213431729142148</t>
  </si>
  <si>
    <t>0.00131450184217888</t>
  </si>
  <si>
    <t>0.00123017597487434</t>
  </si>
  <si>
    <t>0.000987394340933553</t>
  </si>
  <si>
    <t>0.00101447977886962</t>
  </si>
  <si>
    <t>0.0053181146605758</t>
  </si>
  <si>
    <t>0.00718122114041119</t>
  </si>
  <si>
    <t>0.00597415383653717</t>
  </si>
  <si>
    <t>0.00929089990449302</t>
  </si>
  <si>
    <t>0.44426877459849</t>
  </si>
  <si>
    <t>0.217071357795662</t>
  </si>
  <si>
    <t>0.20700036580081</t>
  </si>
  <si>
    <t>0.122779539719388</t>
  </si>
  <si>
    <t>0.44942148206542</t>
  </si>
  <si>
    <t>0.22189355457492</t>
  </si>
  <si>
    <t>0.210870881231011</t>
  </si>
  <si>
    <t>0.126756303166905</t>
  </si>
  <si>
    <t>-0.223855042342531</t>
  </si>
  <si>
    <t>-0.203008415941765</t>
  </si>
  <si>
    <t>South America</t>
  </si>
  <si>
    <t>0.476752681106836</t>
  </si>
  <si>
    <t>0.17330631765328</t>
  </si>
  <si>
    <t>0.23984730060719</t>
  </si>
  <si>
    <t>0.110093700632695</t>
  </si>
  <si>
    <t>-0.0930563691817817</t>
  </si>
  <si>
    <t>0.00523514227334841</t>
  </si>
  <si>
    <t>0.00427792011803207</t>
  </si>
  <si>
    <t>0.00414902514768724</t>
  </si>
  <si>
    <t>0.00377787868066415</t>
  </si>
  <si>
    <t>0.0209859354675723</t>
  </si>
  <si>
    <t>0.0298588898951082</t>
  </si>
  <si>
    <t>0.0227567579426065</t>
  </si>
  <si>
    <t>0.0385603756544655</t>
  </si>
  <si>
    <t>0.466503236301725</t>
  </si>
  <si>
    <t>0.165081347834761</t>
  </si>
  <si>
    <t>0.231809954025899</t>
  </si>
  <si>
    <t>0.102904467945422</t>
  </si>
  <si>
    <t>0.487021742967594</t>
  </si>
  <si>
    <t>0.181851828833925</t>
  </si>
  <si>
    <t>0.248073327007164</t>
  </si>
  <si>
    <t>0.11771928767972</t>
  </si>
  <si>
    <t>-0.134188046880105</t>
  </si>
  <si>
    <t>-0.0519246914834583</t>
  </si>
  <si>
    <t>Previous_continent</t>
  </si>
  <si>
    <t>0.441401269311789</t>
  </si>
  <si>
    <t>0.210078931609232</t>
  </si>
  <si>
    <t>0.251272414003565</t>
  </si>
  <si>
    <t>0.0972473850754145</t>
  </si>
  <si>
    <t>-0.2354770117313</t>
  </si>
  <si>
    <t>0.00613528363367685</t>
  </si>
  <si>
    <t>0.00617064546149486</t>
  </si>
  <si>
    <t>0.00513536100452922</t>
  </si>
  <si>
    <t>0.00380053897095216</t>
  </si>
  <si>
    <t>0.0248829073624757</t>
  </si>
  <si>
    <t>0.0371847098538288</t>
  </si>
  <si>
    <t>0.0272962088475797</t>
  </si>
  <si>
    <t>0.0432910882125698</t>
  </si>
  <si>
    <t>0.429412971015316</t>
  </si>
  <si>
    <t>0.198240079328271</t>
  </si>
  <si>
    <t>0.241341804753637</t>
  </si>
  <si>
    <t>0.0900487827127909</t>
  </si>
  <si>
    <t>0.453458271535681</t>
  </si>
  <si>
    <t>0.222428653850405</t>
  </si>
  <si>
    <t>0.261470812526623</t>
  </si>
  <si>
    <t>0.104955077021047</t>
  </si>
  <si>
    <t>-0.284246613992399</t>
  </si>
  <si>
    <t>-0.186707409470201</t>
  </si>
  <si>
    <t>0.470954138825406</t>
  </si>
  <si>
    <t>0.193631638574674</t>
  </si>
  <si>
    <t>0.239050832472382</t>
  </si>
  <si>
    <t>0.0963633901275386</t>
  </si>
  <si>
    <t>-0.116314402714212</t>
  </si>
  <si>
    <t>0.00164014028290975</t>
  </si>
  <si>
    <t>0.00147619597158852</t>
  </si>
  <si>
    <t>0.00129877935188628</t>
  </si>
  <si>
    <t>0.00110280337229156</t>
  </si>
  <si>
    <t>0.00658277568378748</t>
  </si>
  <si>
    <t>0.00945440529176748</t>
  </si>
  <si>
    <t>0.00713985626409888</t>
  </si>
  <si>
    <t>0.0126646209958968</t>
  </si>
  <si>
    <t>0.467740771725059</t>
  </si>
  <si>
    <t>0.190754762257979</t>
  </si>
  <si>
    <t>0.23651457472586</t>
  </si>
  <si>
    <t>0.0942234851355256</t>
  </si>
  <si>
    <t>0.474169915212539</t>
  </si>
  <si>
    <t>0.196541365049614</t>
  </si>
  <si>
    <t>0.241605681039273</t>
  </si>
  <si>
    <t>0.0985466068971163</t>
  </si>
  <si>
    <t>-0.129216405972742</t>
  </si>
  <si>
    <t>-0.103412399455683</t>
  </si>
  <si>
    <t>0.389489098063828</t>
  </si>
  <si>
    <t>0.274559671169754</t>
  </si>
  <si>
    <t>0.176096394427785</t>
  </si>
  <si>
    <t>0.159854836338633</t>
  </si>
  <si>
    <t>-0.449460275428088</t>
  </si>
  <si>
    <t>-0.971610201966653</t>
  </si>
  <si>
    <t>0.00418548276588233</t>
  </si>
  <si>
    <t>0.00442312506120773</t>
  </si>
  <si>
    <t>0.00296013109267372</t>
  </si>
  <si>
    <t>0.00370054657807595</t>
  </si>
  <si>
    <t>0.0176017897174176</t>
  </si>
  <si>
    <t>0.022207045256113</t>
  </si>
  <si>
    <t>0.0204025324556327</t>
  </si>
  <si>
    <t>0.027554070361097</t>
  </si>
  <si>
    <t>0.381317666615712</t>
  </si>
  <si>
    <t>0.265976085045109</t>
  </si>
  <si>
    <t>0.170369582764878</t>
  </si>
  <si>
    <t>0.152734427415636</t>
  </si>
  <si>
    <t>0.397723068933101</t>
  </si>
  <si>
    <t>0.283313348742529</t>
  </si>
  <si>
    <t>0.181973483636688</t>
  </si>
  <si>
    <t>0.167241671840201</t>
  </si>
  <si>
    <t>-0.483959149337674</t>
  </si>
  <si>
    <t>-0.414961401518502</t>
  </si>
  <si>
    <t>-0.92808519306162</t>
  </si>
  <si>
    <t>0.433021451044382</t>
  </si>
  <si>
    <t>0.235964955648212</t>
  </si>
  <si>
    <t>0.222504707715397</t>
  </si>
  <si>
    <t>0.108508885592009</t>
  </si>
  <si>
    <t>-0.269534203188709</t>
  </si>
  <si>
    <t>0.00152356940751749</t>
  </si>
  <si>
    <t>0.00150418452957478</t>
  </si>
  <si>
    <t>0.00117166042055343</t>
  </si>
  <si>
    <t>0.00108560515206532</t>
  </si>
  <si>
    <t>0.00620563466666996</t>
  </si>
  <si>
    <t>0.0083433474590953</t>
  </si>
  <si>
    <t>0.00677274598067523</t>
  </si>
  <si>
    <t>0.0112224989553571</t>
  </si>
  <si>
    <t>0.430037777303931</t>
  </si>
  <si>
    <t>0.233029547695698</t>
  </si>
  <si>
    <t>0.220216756903822</t>
  </si>
  <si>
    <t>0.106399388769046</t>
  </si>
  <si>
    <t>0.436009989976351</t>
  </si>
  <si>
    <t>0.238925821228898</t>
  </si>
  <si>
    <t>0.224809576233326</t>
  </si>
  <si>
    <t>0.110655026741152</t>
  </si>
  <si>
    <t>-0.281697023636595</t>
  </si>
  <si>
    <t>-0.257371382740823</t>
  </si>
  <si>
    <t>0.489984024210092</t>
  </si>
  <si>
    <t>0.176708976603067</t>
  </si>
  <si>
    <t>0.278431337589267</t>
  </si>
  <si>
    <t>0.0548756615975733</t>
  </si>
  <si>
    <t>-0.0400692633857124</t>
  </si>
  <si>
    <t>-0.952256054577008</t>
  </si>
  <si>
    <t>0.0084062470347652</t>
  </si>
  <si>
    <t>0.0081288316956099</t>
  </si>
  <si>
    <t>0.00701568565185405</t>
  </si>
  <si>
    <t>0.00399772910925427</t>
  </si>
  <si>
    <t>0.033638486560138</t>
  </si>
  <si>
    <t>0.0558748203582163</t>
  </si>
  <si>
    <t>0.0349200087790123</t>
  </si>
  <si>
    <t>0.0770805218332146</t>
  </si>
  <si>
    <t>0.473524913240188</t>
  </si>
  <si>
    <t>0.161336378247353</t>
  </si>
  <si>
    <t>0.264891458145862</t>
  </si>
  <si>
    <t>0.0475470205433687</t>
  </si>
  <si>
    <t>0.506464879392211</t>
  </si>
  <si>
    <t>0.193208876886793</t>
  </si>
  <si>
    <t>0.292388028651851</t>
  </si>
  <si>
    <t>0.0632588755936784</t>
  </si>
  <si>
    <t>-0.105999485538018</t>
  </si>
  <si>
    <t>0.0258609587665927</t>
  </si>
  <si>
    <t>-0.883814095030322</t>
  </si>
  <si>
    <t>0.507010532736816</t>
  </si>
  <si>
    <t>0.169348006682188</t>
  </si>
  <si>
    <t>0.221689077043261</t>
  </si>
  <si>
    <t>0.101952383537735</t>
  </si>
  <si>
    <t>0.0280439687674767</t>
  </si>
  <si>
    <t>0.00143043776739245</t>
  </si>
  <si>
    <t>0.00116583047159743</t>
  </si>
  <si>
    <t>0.00110043985700108</t>
  </si>
  <si>
    <t>0.000972773307649244</t>
  </si>
  <si>
    <t>0.0057228761313738</t>
  </si>
  <si>
    <t>0.00828774159524891</t>
  </si>
  <si>
    <t>0.00637777055359296</t>
  </si>
  <si>
    <t>0.0106246564800656</t>
  </si>
  <si>
    <t>0.504206735151289</t>
  </si>
  <si>
    <t>0.167075277753607</t>
  </si>
  <si>
    <t>0.219539759893594</t>
  </si>
  <si>
    <t>0.100061524400511</t>
  </si>
  <si>
    <t>0.509813889410859</t>
  </si>
  <si>
    <t>0.17164528057235</t>
  </si>
  <si>
    <t>0.223853400905976</t>
  </si>
  <si>
    <t>0.103874849887628</t>
  </si>
  <si>
    <t>0.0168273376620001</t>
  </si>
  <si>
    <t>0.0392605998729532</t>
  </si>
  <si>
    <t>0.383646830185486</t>
  </si>
  <si>
    <t>0.278588288298606</t>
  </si>
  <si>
    <t>0.246664344314416</t>
  </si>
  <si>
    <t>0.091100537201492</t>
  </si>
  <si>
    <t>-0.474097710531452</t>
  </si>
  <si>
    <t>-0.951474980253502</t>
  </si>
  <si>
    <t>0.00497150556255004</t>
  </si>
  <si>
    <t>0.00563650474789287</t>
  </si>
  <si>
    <t>0.00411419700474163</t>
  </si>
  <si>
    <t>0.0031994639868328</t>
  </si>
  <si>
    <t>0.0210245486660421</t>
  </si>
  <si>
    <t>0.0280455417522637</t>
  </si>
  <si>
    <t>0.0221406407028832</t>
  </si>
  <si>
    <t>0.0386402957176933</t>
  </si>
  <si>
    <t>0.373950719370565</t>
  </si>
  <si>
    <t>0.267676492623799</t>
  </si>
  <si>
    <t>0.238689587972237</t>
  </si>
  <si>
    <t>0.0850208799225437</t>
  </si>
  <si>
    <t>0.393436353736451</t>
  </si>
  <si>
    <t>0.289768894402504</t>
  </si>
  <si>
    <t>0.254816361964353</t>
  </si>
  <si>
    <t>0.0975685787674338</t>
  </si>
  <si>
    <t>-0.515305068708104</t>
  </si>
  <si>
    <t>-0.4328903523548</t>
  </si>
  <si>
    <t>-0.896506728492151</t>
  </si>
  <si>
    <t>0.360820740937002</t>
  </si>
  <si>
    <t>0.24638191385703</t>
  </si>
  <si>
    <t>0.214541285160695</t>
  </si>
  <si>
    <t>0.178256060045272</t>
  </si>
  <si>
    <t>-0.571803673147683</t>
  </si>
  <si>
    <t>0.00253864313935402</t>
  </si>
  <si>
    <t>0.00225071813108082</t>
  </si>
  <si>
    <t>0.00210079707232457</t>
  </si>
  <si>
    <t>0.00192823110108828</t>
  </si>
  <si>
    <t>0.0110074694250976</t>
  </si>
  <si>
    <t>0.0121216285761294</t>
  </si>
  <si>
    <t>0.0124666527599521</t>
  </si>
  <si>
    <t>0.013163708913953</t>
  </si>
  <si>
    <t>0.355860179235076</t>
  </si>
  <si>
    <t>0.241997213401716</t>
  </si>
  <si>
    <t>0.210452520920958</t>
  </si>
  <si>
    <t>0.174508116567545</t>
  </si>
  <si>
    <t>0.365811181226771</t>
  </si>
  <si>
    <t>0.250819771670955</t>
  </si>
  <si>
    <t>0.218687485027156</t>
  </si>
  <si>
    <t>0.182066745131904</t>
  </si>
  <si>
    <t>-0.593377916781801</t>
  </si>
  <si>
    <t>-0.550229429513566</t>
  </si>
  <si>
    <t>0.368218949156774</t>
  </si>
  <si>
    <t>0.239182692755618</t>
  </si>
  <si>
    <t>0.208906020938954</t>
  </si>
  <si>
    <t>0.183692337148655</t>
  </si>
  <si>
    <t>-0.539865163805118</t>
  </si>
  <si>
    <t>0.00187269577138361</t>
  </si>
  <si>
    <t>0.00167996104952653</t>
  </si>
  <si>
    <t>0.00154550300627652</t>
  </si>
  <si>
    <t>0.0014799267814508</t>
  </si>
  <si>
    <t>0.00804997440845344</t>
  </si>
  <si>
    <t>0.0092318572011264</t>
  </si>
  <si>
    <t>0.00935170541805297</t>
  </si>
  <si>
    <t>0.00986950374847364</t>
  </si>
  <si>
    <t>0.364556224396989</t>
  </si>
  <si>
    <t>0.235905584526247</t>
  </si>
  <si>
    <t>0.205893050651606</t>
  </si>
  <si>
    <t>0.180809463047263</t>
  </si>
  <si>
    <t>0.371896936383377</t>
  </si>
  <si>
    <t>0.242490877824849</t>
  </si>
  <si>
    <t>0.211951313962559</t>
  </si>
  <si>
    <t>0.186610705713126</t>
  </si>
  <si>
    <t>-0.555642823722156</t>
  </si>
  <si>
    <t>-0.52408750388808</t>
  </si>
  <si>
    <t>0.568751563596207</t>
  </si>
  <si>
    <t>0.0801479763988098</t>
  </si>
  <si>
    <t>0.269030661354794</t>
  </si>
  <si>
    <t>0.0820697986501889</t>
  </si>
  <si>
    <t>0.276759376832865</t>
  </si>
  <si>
    <t>-0.999546158634407</t>
  </si>
  <si>
    <t>0.00218789298801818</t>
  </si>
  <si>
    <t>0.00104151539448458</t>
  </si>
  <si>
    <t>0.00195623294692935</t>
  </si>
  <si>
    <t>0.00108611230052498</t>
  </si>
  <si>
    <t>0.00892022767789394</t>
  </si>
  <si>
    <t>0.0141271697575312</t>
  </si>
  <si>
    <t>0.00994763013781521</t>
  </si>
  <si>
    <t>0.0144172259621851</t>
  </si>
  <si>
    <t>0.564458320992465</t>
  </si>
  <si>
    <t>0.0781302293095866</t>
  </si>
  <si>
    <t>0.26521382415501</t>
  </si>
  <si>
    <t>0.079966042068819</t>
  </si>
  <si>
    <t>0.573034497847094</t>
  </si>
  <si>
    <t>0.0822131855371282</t>
  </si>
  <si>
    <t>0.272882028985581</t>
  </si>
  <si>
    <t>0.0842238345224497</t>
  </si>
  <si>
    <t>0.259276051850296</t>
  </si>
  <si>
    <t>0.294242701815434</t>
  </si>
  <si>
    <t>-0.980049161832764</t>
  </si>
  <si>
    <t>0.18744620193781</t>
  </si>
  <si>
    <t>0.432145205185202</t>
  </si>
  <si>
    <t>0.126735262191511</t>
  </si>
  <si>
    <t>0.253673330685477</t>
  </si>
  <si>
    <t>-0.27310408822595</t>
  </si>
  <si>
    <t>0.0015370881687868</t>
  </si>
  <si>
    <t>0.00207643500056767</t>
  </si>
  <si>
    <t>0.00128003595464845</t>
  </si>
  <si>
    <t>0.00178865947434508</t>
  </si>
  <si>
    <t>0.0100918319499269</t>
  </si>
  <si>
    <t>0.00846157766261888</t>
  </si>
  <si>
    <t>0.0115658825332763</t>
  </si>
  <si>
    <t>0.00944765215793203</t>
  </si>
  <si>
    <t>0.184452171785072</t>
  </si>
  <si>
    <t>0.428080135085661</t>
  </si>
  <si>
    <t>0.124247593585866</t>
  </si>
  <si>
    <t>0.250183639583947</t>
  </si>
  <si>
    <t>0.190477480525345</t>
  </si>
  <si>
    <t>0.436219434474295</t>
  </si>
  <si>
    <t>0.129265386690709</t>
  </si>
  <si>
    <t>0.257195001413839</t>
  </si>
  <si>
    <t>-0.289688475697071</t>
  </si>
  <si>
    <t>-0.256519700754828</t>
  </si>
  <si>
    <t>0.346197244465139</t>
  </si>
  <si>
    <t>0.251988635893733</t>
  </si>
  <si>
    <t>0.221878617031256</t>
  </si>
  <si>
    <t>0.179935502609872</t>
  </si>
  <si>
    <t>-0.635797025588528</t>
  </si>
  <si>
    <t>0.00416449305089508</t>
  </si>
  <si>
    <t>0.00378182309985571</t>
  </si>
  <si>
    <t>0.0035613478333122</t>
  </si>
  <si>
    <t>0.00319402089074337</t>
  </si>
  <si>
    <t>0.0183988970050321</t>
  </si>
  <si>
    <t>0.0200637477384202</t>
  </si>
  <si>
    <t>0.0206277373327972</t>
  </si>
  <si>
    <t>0.0216457620710762</t>
  </si>
  <si>
    <t>0.338080883440471</t>
  </si>
  <si>
    <t>0.244648927741433</t>
  </si>
  <si>
    <t>0.214977047213028</t>
  </si>
  <si>
    <t>0.173760116680338</t>
  </si>
  <si>
    <t>0.354404129432581</t>
  </si>
  <si>
    <t>0.259472901472099</t>
  </si>
  <si>
    <t>0.228937137507331</t>
  </si>
  <si>
    <t>0.186280878826571</t>
  </si>
  <si>
    <t>-0.671858201073653</t>
  </si>
  <si>
    <t>-0.599735850103404</t>
  </si>
  <si>
    <t>0.366971967886561</t>
  </si>
  <si>
    <t>0.240935680458474</t>
  </si>
  <si>
    <t>0.210107582446454</t>
  </si>
  <si>
    <t>0.181984769208512</t>
  </si>
  <si>
    <t>-0.5452292423462</t>
  </si>
  <si>
    <t>0.00159402715357757</t>
  </si>
  <si>
    <t>0.00146810028443462</t>
  </si>
  <si>
    <t>0.00133639268511643</t>
  </si>
  <si>
    <t>0.00128424681206967</t>
  </si>
  <si>
    <t>0.00686182886081974</t>
  </si>
  <si>
    <t>0.00802742072400768</t>
  </si>
  <si>
    <t>0.00805238292454961</t>
  </si>
  <si>
    <t>0.00862684637190019</t>
  </si>
  <si>
    <t>0.363853358540611</t>
  </si>
  <si>
    <t>0.238069996352069</t>
  </si>
  <si>
    <t>0.207500283926282</t>
  </si>
  <si>
    <t>0.179481213224339</t>
  </si>
  <si>
    <t>0.370101755982408</t>
  </si>
  <si>
    <t>0.243824820612025</t>
  </si>
  <si>
    <t>0.212738847907493</t>
  </si>
  <si>
    <t>0.184515393838015</t>
  </si>
  <si>
    <t>-0.558678179781484</t>
  </si>
  <si>
    <t>-0.531780304910915</t>
  </si>
  <si>
    <t>0.390521347047782</t>
  </si>
  <si>
    <t>0.228536679437599</t>
  </si>
  <si>
    <t>0.197159959102059</t>
  </si>
  <si>
    <t>0.18378201441256</t>
  </si>
  <si>
    <t>-0.445121290718554</t>
  </si>
  <si>
    <t>0.00530274272175029</t>
  </si>
  <si>
    <t>0.00433377962269189</t>
  </si>
  <si>
    <t>0.00399050499810036</t>
  </si>
  <si>
    <t>0.00393284083388105</t>
  </si>
  <si>
    <t>0.0222790813280565</t>
  </si>
  <si>
    <t>0.0245807781993372</t>
  </si>
  <si>
    <t>0.0252104219927795</t>
  </si>
  <si>
    <t>0.0262178577395707</t>
  </si>
  <si>
    <t>0.380179246130324</t>
  </si>
  <si>
    <t>0.220153882453774</t>
  </si>
  <si>
    <t>0.189455567356457</t>
  </si>
  <si>
    <t>0.176198679701917</t>
  </si>
  <si>
    <t>0.400962788245617</t>
  </si>
  <si>
    <t>0.23714160583286</t>
  </si>
  <si>
    <t>0.205098378926917</t>
  </si>
  <si>
    <t>0.191615809975678</t>
  </si>
  <si>
    <t>-0.488787487730184</t>
  </si>
  <si>
    <t>-0.401455093706925</t>
  </si>
  <si>
    <t>0.411053946221249</t>
  </si>
  <si>
    <t>0.217842942727063</t>
  </si>
  <si>
    <t>0.18619744440754</t>
  </si>
  <si>
    <t>0.184905666644148</t>
  </si>
  <si>
    <t>-0.359610128051562</t>
  </si>
  <si>
    <t>0.00949731747979992</t>
  </si>
  <si>
    <t>0.00734694621532469</t>
  </si>
  <si>
    <t>0.00669822445074698</t>
  </si>
  <si>
    <t>0.00692687470272944</t>
  </si>
  <si>
    <t>0.0392307506373328</t>
  </si>
  <si>
    <t>0.0431190711847242</t>
  </si>
  <si>
    <t>0.0442045456362229</t>
  </si>
  <si>
    <t>0.0459599171629629</t>
  </si>
  <si>
    <t>0.392575029245897</t>
  </si>
  <si>
    <t>0.203786736614761</t>
  </si>
  <si>
    <t>0.173424422943708</t>
  </si>
  <si>
    <t>0.171712627908382</t>
  </si>
  <si>
    <t>0.429787237324958</t>
  </si>
  <si>
    <t>0.232585463564173</t>
  </si>
  <si>
    <t>0.199683954282099</t>
  </si>
  <si>
    <t>0.198868980426662</t>
  </si>
  <si>
    <t>-0.436500986387206</t>
  </si>
  <si>
    <t>-0.282719269715917</t>
  </si>
  <si>
    <t>0.431717895317523</t>
  </si>
  <si>
    <t>0.207194519238529</t>
  </si>
  <si>
    <t>0.175459100451816</t>
  </si>
  <si>
    <t>0.185628484992132</t>
  </si>
  <si>
    <t>-0.274845603762906</t>
  </si>
  <si>
    <t>0.0138578675276849</t>
  </si>
  <si>
    <t>0.0102080617435128</t>
  </si>
  <si>
    <t>0.0092002334203274</t>
  </si>
  <si>
    <t>0.0100034295176123</t>
  </si>
  <si>
    <t>0.0564849012781396</t>
  </si>
  <si>
    <t>0.0621438822853893</t>
  </si>
  <si>
    <t>0.0635932096121267</t>
  </si>
  <si>
    <t>0.0661731367723899</t>
  </si>
  <si>
    <t>0.404788047079245</t>
  </si>
  <si>
    <t>0.18789907987029</t>
  </si>
  <si>
    <t>0.158149563931162</t>
  </si>
  <si>
    <t>0.166815548003352</t>
  </si>
  <si>
    <t>0.459057570128255</t>
  </si>
  <si>
    <t>0.227915321782719</t>
  </si>
  <si>
    <t>0.194226078410869</t>
  </si>
  <si>
    <t>0.206038419338417</t>
  </si>
  <si>
    <t>-0.38555397593836</t>
  </si>
  <si>
    <t>-0.164137231587452</t>
  </si>
  <si>
    <t>0.402775629515982</t>
  </si>
  <si>
    <t>0.214427707312863</t>
  </si>
  <si>
    <t>0.177412234232436</t>
  </si>
  <si>
    <t>0.205384428938718</t>
  </si>
  <si>
    <t>-0.393913216419852</t>
  </si>
  <si>
    <t>0.00255306114372536</t>
  </si>
  <si>
    <t>0.0021227366948693</t>
  </si>
  <si>
    <t>0.00191310240097301</t>
  </si>
  <si>
    <t>0.0020346575729695</t>
  </si>
  <si>
    <t>0.0106135460724997</t>
  </si>
  <si>
    <t>0.0126016980130131</t>
  </si>
  <si>
    <t>0.0131090857871635</t>
  </si>
  <si>
    <t>0.0124671373259338</t>
  </si>
  <si>
    <t>0.397782001199013</t>
  </si>
  <si>
    <t>0.21029656807437</t>
  </si>
  <si>
    <t>0.173693647959821</t>
  </si>
  <si>
    <t>0.201425272227365</t>
  </si>
  <si>
    <t>0.407789497040219</t>
  </si>
  <si>
    <t>0.218617533954293</t>
  </si>
  <si>
    <t>0.181192974170213</t>
  </si>
  <si>
    <t>0.209400999839272</t>
  </si>
  <si>
    <t>-0.414715384470208</t>
  </si>
  <si>
    <t>-0.373111048369496</t>
  </si>
  <si>
    <t>0.369228660243136</t>
  </si>
  <si>
    <t>0.235868040925256</t>
  </si>
  <si>
    <t>0.211099935987866</t>
  </si>
  <si>
    <t>0.183803362843742</t>
  </si>
  <si>
    <t>-0.535527291725571</t>
  </si>
  <si>
    <t>0.00256205101086504</t>
  </si>
  <si>
    <t>0.00223883503261954</t>
  </si>
  <si>
    <t>0.00208926848279922</t>
  </si>
  <si>
    <t>0.00198656540208763</t>
  </si>
  <si>
    <t>0.0110007023958263</t>
  </si>
  <si>
    <t>0.0124218027912482</t>
  </si>
  <si>
    <t>0.0125453898012908</t>
  </si>
  <si>
    <t>0.0132420314055723</t>
  </si>
  <si>
    <t>0.36422144464792</t>
  </si>
  <si>
    <t>0.231508256414864</t>
  </si>
  <si>
    <t>0.20703413179169</t>
  </si>
  <si>
    <t>0.179941674064675</t>
  </si>
  <si>
    <t>0.374264190849921</t>
  </si>
  <si>
    <t>0.240284257886207</t>
  </si>
  <si>
    <t>0.215223914378937</t>
  </si>
  <si>
    <t>0.187728954644802</t>
  </si>
  <si>
    <t>-0.557088272226034</t>
  </si>
  <si>
    <t>-0.513966311225108</t>
  </si>
  <si>
    <t>0.312245634577579</t>
  </si>
  <si>
    <t>0.281538601202167</t>
  </si>
  <si>
    <t>0.256054569214686</t>
  </si>
  <si>
    <t>0.150161195005569</t>
  </si>
  <si>
    <t>-0.789641578809954</t>
  </si>
  <si>
    <t>-0.936842414361574</t>
  </si>
  <si>
    <t>0.00277942288342617</t>
  </si>
  <si>
    <t>0.00268291741773296</t>
  </si>
  <si>
    <t>0.00251537910245252</t>
  </si>
  <si>
    <t>0.00210491551918617</t>
  </si>
  <si>
    <t>0.0129427003887064</t>
  </si>
  <si>
    <t>0.0132637374595156</t>
  </si>
  <si>
    <t>0.0132047394914979</t>
  </si>
  <si>
    <t>0.0164945471430954</t>
  </si>
  <si>
    <t>0.30682417790374</t>
  </si>
  <si>
    <t>0.276310167567822</t>
  </si>
  <si>
    <t>0.251155719128367</t>
  </si>
  <si>
    <t>0.146082125286556</t>
  </si>
  <si>
    <t>0.317718978306497</t>
  </si>
  <si>
    <t>0.286826757504493</t>
  </si>
  <si>
    <t>0.261015666667209</t>
  </si>
  <si>
    <t>0.154333579222818</t>
  </si>
  <si>
    <t>-0.815008805434511</t>
  </si>
  <si>
    <t>-0.96283886208262</t>
  </si>
  <si>
    <t>-0.764274352185397</t>
  </si>
  <si>
    <t>-0.910845966640529</t>
  </si>
  <si>
    <t>ln_current_ranking</t>
  </si>
  <si>
    <t>0.974126297408004</t>
  </si>
  <si>
    <t>0.0258375711820767</t>
  </si>
  <si>
    <t>0.00223064535338871</t>
  </si>
  <si>
    <t>0.00222962997399675</t>
  </si>
  <si>
    <t>0.0885027322765325</t>
  </si>
  <si>
    <t>0.102557354815531</t>
  </si>
  <si>
    <t>0.0885828670086133</t>
  </si>
  <si>
    <t>0.10214851373467</t>
  </si>
  <si>
    <t>0.969375499399005</t>
  </si>
  <si>
    <t>0.0218093117984584</t>
  </si>
  <si>
    <t>0.978156708099626</t>
  </si>
  <si>
    <t>0.0305865998899212</t>
  </si>
  <si>
    <t>0.07</t>
  </si>
  <si>
    <t>0.939608624146401</t>
  </si>
  <si>
    <t>0.0598229896665039</t>
  </si>
  <si>
    <t>0.000500877732019514</t>
  </si>
  <si>
    <t>0.00355564007075532</t>
  </si>
  <si>
    <t>0.00354525205867114</t>
  </si>
  <si>
    <t>0.0626607911115294</t>
  </si>
  <si>
    <t>0.0732125627754852</t>
  </si>
  <si>
    <t>0.0630332031664025</t>
  </si>
  <si>
    <t>0.0729696354356625</t>
  </si>
  <si>
    <t>0.932251747443179</t>
  </si>
  <si>
    <t>0.0532407405056904</t>
  </si>
  <si>
    <t>0.000434159038840741</t>
  </si>
  <si>
    <t>0.946212700449577</t>
  </si>
  <si>
    <t>0.0671612865453146</t>
  </si>
  <si>
    <t>0.000577843386107628</t>
  </si>
  <si>
    <t>0.864847677166717</t>
  </si>
  <si>
    <t>0.00198127875184968</t>
  </si>
  <si>
    <t>0.126999926440384</t>
  </si>
  <si>
    <t>0.00617111764104944</t>
  </si>
  <si>
    <t>0.00437503676070837</t>
  </si>
  <si>
    <t>0.00429708741722391</t>
  </si>
  <si>
    <t>0.000279082039746911</t>
  </si>
  <si>
    <t>0.0374298915637697</t>
  </si>
  <si>
    <t>0.0455358183901096</t>
  </si>
  <si>
    <t>0.0387575609858632</t>
  </si>
  <si>
    <t>0.0455047202744093</t>
  </si>
  <si>
    <t>0.856040995221597</t>
  </si>
  <si>
    <t>0.0018124202121765</t>
  </si>
  <si>
    <t>0.118813678135971</t>
  </si>
  <si>
    <t>0.00564753431554678</t>
  </si>
  <si>
    <t>0.873195415245695</t>
  </si>
  <si>
    <t>0.00216583527325585</t>
  </si>
  <si>
    <t>0.135663370593645</t>
  </si>
  <si>
    <t>0.00674291324573822</t>
  </si>
  <si>
    <t>0.509028649184231</t>
  </si>
  <si>
    <t>0.131654985355001</t>
  </si>
  <si>
    <t>0.233932748747046</t>
  </si>
  <si>
    <t>0.125383616713722</t>
  </si>
  <si>
    <t>0.0361185227526974</t>
  </si>
  <si>
    <t>0.00196154680516637</t>
  </si>
  <si>
    <t>0.00132235346622954</t>
  </si>
  <si>
    <t>0.0016385513605314</t>
  </si>
  <si>
    <t>0.00128314101780462</t>
  </si>
  <si>
    <t>0.00784874643021024</t>
  </si>
  <si>
    <t>0.0115669253723897</t>
  </si>
  <si>
    <t>0.00914328249311784</t>
  </si>
  <si>
    <t>0.0117008116072633</t>
  </si>
  <si>
    <t>0.505183629882138</t>
  </si>
  <si>
    <t>0.129084793070302</t>
  </si>
  <si>
    <t>0.230736572188833</t>
  </si>
  <si>
    <t>0.122890236787842</t>
  </si>
  <si>
    <t>0.512872600585775</t>
  </si>
  <si>
    <t>0.134268462851619</t>
  </si>
  <si>
    <t>0.237159549623262</t>
  </si>
  <si>
    <t>0.127920207936918</t>
  </si>
  <si>
    <t>0.020735262425698</t>
  </si>
  <si>
    <t>0.0515017830796968</t>
  </si>
  <si>
    <t>0.0687412021047552</t>
  </si>
  <si>
    <t>0.615784919596503</t>
  </si>
  <si>
    <t>0.0743326531362688</t>
  </si>
  <si>
    <t>0.241141225162473</t>
  </si>
  <si>
    <t>0.471695245060225</t>
  </si>
  <si>
    <t>0.00122400075560097</t>
  </si>
  <si>
    <t>0.00414327633458338</t>
  </si>
  <si>
    <t>0.00142715345793118</t>
  </si>
  <si>
    <t>0.00356992664291297</t>
  </si>
  <si>
    <t>0.0191202767778855</t>
  </si>
  <si>
    <t>0.017512189317933</t>
  </si>
  <si>
    <t>0.0207413058552824</t>
  </si>
  <si>
    <t>0.0195086343408593</t>
  </si>
  <si>
    <t>0.066380631202509</t>
  </si>
  <si>
    <t>0.607632649460055</t>
  </si>
  <si>
    <t>0.0715834356982093</t>
  </si>
  <si>
    <t>0.234213708545773</t>
  </si>
  <si>
    <t>0.0711793176471385</t>
  </si>
  <si>
    <t>0.623872656397869</t>
  </si>
  <si>
    <t>0.0771786791219955</t>
  </si>
  <si>
    <t>0.248207229718434</t>
  </si>
  <si>
    <t>0.437371984706629</t>
  </si>
  <si>
    <t>0.50601850541382</t>
  </si>
  <si>
    <t>ln_previous_ranking</t>
  </si>
  <si>
    <t>0.3</t>
  </si>
  <si>
    <t>0.432807554785711</t>
  </si>
  <si>
    <t>0.0376889069505959</t>
  </si>
  <si>
    <t>0.522478347976486</t>
  </si>
  <si>
    <t>0.00702519028720744</t>
  </si>
  <si>
    <t>-0.270405472705755</t>
  </si>
  <si>
    <t>0.089974040256269</t>
  </si>
  <si>
    <t>0.014723113506679</t>
  </si>
  <si>
    <t>0.00224399018985523</t>
  </si>
  <si>
    <t>0.0150506984750705</t>
  </si>
  <si>
    <t>0.000483659795829358</t>
  </si>
  <si>
    <t>0.0599755707786386</t>
  </si>
  <si>
    <t>0.0618716815628068</t>
  </si>
  <si>
    <t>0.0603247164568383</t>
  </si>
  <si>
    <t>0.0693335862947009</t>
  </si>
  <si>
    <t>0.404209585711837</t>
  </si>
  <si>
    <t>0.0335290750294982</t>
  </si>
  <si>
    <t>0.492935412321818</t>
  </si>
  <si>
    <t>0.00613803100134971</t>
  </si>
  <si>
    <t>0.461860353052419</t>
  </si>
  <si>
    <t>0.0423422235339196</t>
  </si>
  <si>
    <t>0.551864848410735</t>
  </si>
  <si>
    <t>0.00803953775260129</t>
  </si>
  <si>
    <t>-0.38795543138412</t>
  </si>
  <si>
    <t>-0.0282602313767247</t>
  </si>
  <si>
    <t>-0.152855514027391</t>
  </si>
  <si>
    <t>0.208208311889263</t>
  </si>
  <si>
    <t>0.462586122703764</t>
  </si>
  <si>
    <t>0.0829125972007603</t>
  </si>
  <si>
    <t>0.429086976068466</t>
  </si>
  <si>
    <t>0.0254143040270095</t>
  </si>
  <si>
    <t>-0.149935768009122</t>
  </si>
  <si>
    <t>-0.285577235895107</t>
  </si>
  <si>
    <t>0.00905681508412178</t>
  </si>
  <si>
    <t>0.00303392734975963</t>
  </si>
  <si>
    <t>0.00924759334735439</t>
  </si>
  <si>
    <t>0.0011047807597664</t>
  </si>
  <si>
    <t>0.0364312459083616</t>
  </si>
  <si>
    <t>0.0399000949860006</t>
  </si>
  <si>
    <t>0.037749694444717</t>
  </si>
  <si>
    <t>0.0446044150433312</t>
  </si>
  <si>
    <t>0.444889884867451</t>
  </si>
  <si>
    <t>0.0771568783810601</t>
  </si>
  <si>
    <t>0.41106480408772</t>
  </si>
  <si>
    <t>0.0233365040620363</t>
  </si>
  <si>
    <t>0.480377124365334</t>
  </si>
  <si>
    <t>0.0890562445018568</t>
  </si>
  <si>
    <t>0.447299172803921</t>
  </si>
  <si>
    <t>0.0276718623532723</t>
  </si>
  <si>
    <t>-0.221339697901433</t>
  </si>
  <si>
    <t>-0.359565277434144</t>
  </si>
  <si>
    <t>-0.0785318381168112</t>
  </si>
  <si>
    <t>-0.21158919435607</t>
  </si>
  <si>
    <t>0.453588994817383</t>
  </si>
  <si>
    <t>0.138777632017976</t>
  </si>
  <si>
    <t>0.346145861734629</t>
  </si>
  <si>
    <t>0.0614875114300124</t>
  </si>
  <si>
    <t>-0.186179959057589</t>
  </si>
  <si>
    <t>-0.636024044476109</t>
  </si>
  <si>
    <t>0.00513325375590966</t>
  </si>
  <si>
    <t>0.00289052146980576</t>
  </si>
  <si>
    <t>0.00502488565094973</t>
  </si>
  <si>
    <t>0.00157256224305212</t>
  </si>
  <si>
    <t>0.0207114634519788</t>
  </si>
  <si>
    <t>0.0241847401636746</t>
  </si>
  <si>
    <t>0.0222016965534023</t>
  </si>
  <si>
    <t>0.0272509013629629</t>
  </si>
  <si>
    <t>0.443548297719344</t>
  </si>
  <si>
    <t>0.133208709929295</t>
  </si>
  <si>
    <t>0.33636429674455</t>
  </si>
  <si>
    <t>0.0584765816901345</t>
  </si>
  <si>
    <t>0.463667591369119</t>
  </si>
  <si>
    <t>0.144540545794196</t>
  </si>
  <si>
    <t>0.356059261542589</t>
  </si>
  <si>
    <t>0.064642828336974</t>
  </si>
  <si>
    <t>-0.226773681490585</t>
  </si>
  <si>
    <t>-0.679538570116465</t>
  </si>
  <si>
    <t>-0.145586236624593</t>
  </si>
  <si>
    <t>-0.592509518835754</t>
  </si>
  <si>
    <t>0.360076255353929</t>
  </si>
  <si>
    <t>0.245694261992968</t>
  </si>
  <si>
    <t>0.205048677106062</t>
  </si>
  <si>
    <t>0.189180805547041</t>
  </si>
  <si>
    <t>-0.57503319081744</t>
  </si>
  <si>
    <t>0.00158462528925519</t>
  </si>
  <si>
    <t>0.00147231228810666</t>
  </si>
  <si>
    <t>0.00132418800252061</t>
  </si>
  <si>
    <t>0.00129443993181674</t>
  </si>
  <si>
    <t>0.00687707679403461</t>
  </si>
  <si>
    <t>0.0079443343051553</t>
  </si>
  <si>
    <t>0.00812366752054161</t>
  </si>
  <si>
    <t>0.0084388022568121</t>
  </si>
  <si>
    <t>0.356976340252935</t>
  </si>
  <si>
    <t>0.242820022118162</t>
  </si>
  <si>
    <t>0.202465502102596</t>
  </si>
  <si>
    <t>0.186656783114748</t>
  </si>
  <si>
    <t>0.363187885297261</t>
  </si>
  <si>
    <t>0.24859135412196</t>
  </si>
  <si>
    <t>0.20765622850818</t>
  </si>
  <si>
    <t>0.191730912832541</t>
  </si>
  <si>
    <t>-0.588512013652664</t>
  </si>
  <si>
    <t>-0.561554367982216</t>
  </si>
  <si>
    <t>0.254479771046677</t>
  </si>
  <si>
    <t>0.296403167447136</t>
  </si>
  <si>
    <t>0.119222892969235</t>
  </si>
  <si>
    <t>0.329894168536952</t>
  </si>
  <si>
    <t>-0.864484931322083</t>
  </si>
  <si>
    <t>-0.708663755696931</t>
  </si>
  <si>
    <t>0.00316929710246624</t>
  </si>
  <si>
    <t>0.00368966397365699</t>
  </si>
  <si>
    <t>0.00201585480898522</t>
  </si>
  <si>
    <t>0.00405089127326003</t>
  </si>
  <si>
    <t>0.0167051452487313</t>
  </si>
  <si>
    <t>0.0176921290985529</t>
  </si>
  <si>
    <t>0.0191970092940111</t>
  </si>
  <si>
    <t>0.0183245176122705</t>
  </si>
  <si>
    <t>0.248318144743996</t>
  </si>
  <si>
    <t>0.289222969950526</t>
  </si>
  <si>
    <t>0.115328149246839</t>
  </si>
  <si>
    <t>0.322003622341412</t>
  </si>
  <si>
    <t>0.26074125403303</t>
  </si>
  <si>
    <t>0.303685458592354</t>
  </si>
  <si>
    <t>0.123230844531054</t>
  </si>
  <si>
    <t>0.337881710182892</t>
  </si>
  <si>
    <t>-0.89916086716508</t>
  </si>
  <si>
    <t>-0.744579150251051</t>
  </si>
  <si>
    <t>-0.829808995479086</t>
  </si>
  <si>
    <t>-0.672748361142811</t>
  </si>
  <si>
    <t>0.347221646969492</t>
  </si>
  <si>
    <t>0.253865841916968</t>
  </si>
  <si>
    <t>0.205291377454372</t>
  </si>
  <si>
    <t>0.193621133659168</t>
  </si>
  <si>
    <t>-0.631274314808931</t>
  </si>
  <si>
    <t>0.00726764991717994</t>
  </si>
  <si>
    <t>0.00665103672366082</t>
  </si>
  <si>
    <t>0.0058983316934286</t>
  </si>
  <si>
    <t>0.0058197976644022</t>
  </si>
  <si>
    <t>0.0320642777767627</t>
  </si>
  <si>
    <t>0.0351130175510318</t>
  </si>
  <si>
    <t>0.0361535174974925</t>
  </si>
  <si>
    <t>0.0372748573480788</t>
  </si>
  <si>
    <t>0.333117376360347</t>
  </si>
  <si>
    <t>0.241052157636297</t>
  </si>
  <si>
    <t>0.193971977932372</t>
  </si>
  <si>
    <t>0.182469117820473</t>
  </si>
  <si>
    <t>0.361599291868384</t>
  </si>
  <si>
    <t>0.26712093132389</t>
  </si>
  <si>
    <t>0.217093418535388</t>
  </si>
  <si>
    <t>0.205283584082996</t>
  </si>
  <si>
    <t>-0.694119144441673</t>
  </si>
  <si>
    <t>-0.568429485176188</t>
  </si>
  <si>
    <t>0.362550505490313</t>
  </si>
  <si>
    <t>0.24401012164895</t>
  </si>
  <si>
    <t>0.206663361235084</t>
  </si>
  <si>
    <t>0.186776011625653</t>
  </si>
  <si>
    <t>-0.564311259515288</t>
  </si>
  <si>
    <t>0.00365704901702373</t>
  </si>
  <si>
    <t>0.00323780939717051</t>
  </si>
  <si>
    <t>0.00295309837356988</t>
  </si>
  <si>
    <t>0.00282921952072466</t>
  </si>
  <si>
    <t>0.0158240076920696</t>
  </si>
  <si>
    <t>0.01755203421447</t>
  </si>
  <si>
    <t>0.018011791622332</t>
  </si>
  <si>
    <t>0.0186266763143087</t>
  </si>
  <si>
    <t>0.355413816354904</t>
  </si>
  <si>
    <t>0.237720144202913</t>
  </si>
  <si>
    <t>0.200935306560112</t>
  </si>
  <si>
    <t>0.181294137664773</t>
  </si>
  <si>
    <t>0.369748296546377</t>
  </si>
  <si>
    <t>0.25041185635043</t>
  </si>
  <si>
    <t>0.212511278506583</t>
  </si>
  <si>
    <t>0.192384692672353</t>
  </si>
  <si>
    <t>-0.595325744682829</t>
  </si>
  <si>
    <t>-0.533296774347747</t>
  </si>
  <si>
    <t>0.361833129219147</t>
  </si>
  <si>
    <t>0.245657991752892</t>
  </si>
  <si>
    <t>0.211481647961761</t>
  </si>
  <si>
    <t>0.1810272310662</t>
  </si>
  <si>
    <t>-0.567416665554812</t>
  </si>
  <si>
    <t>0.0027342525972203</t>
  </si>
  <si>
    <t>0.00244350872720515</t>
  </si>
  <si>
    <t>0.00224400562766166</t>
  </si>
  <si>
    <t>0.00209572475889323</t>
  </si>
  <si>
    <t>0.0118412091032417</t>
  </si>
  <si>
    <t>0.0131860495585716</t>
  </si>
  <si>
    <t>0.0134567272579692</t>
  </si>
  <si>
    <t>0.0141358156889147</t>
  </si>
  <si>
    <t>0.35649146108798</t>
  </si>
  <si>
    <t>0.240900340743101</t>
  </si>
  <si>
    <t>0.207116944347897</t>
  </si>
  <si>
    <t>0.176955926033958</t>
  </si>
  <si>
    <t>0.36720916345134</t>
  </si>
  <si>
    <t>0.250478599656313</t>
  </si>
  <si>
    <t>0.2159132841932</t>
  </si>
  <si>
    <t>0.185171132193486</t>
  </si>
  <si>
    <t>-0.590625008930574</t>
  </si>
  <si>
    <t>-0.54420832217905</t>
  </si>
  <si>
    <t>0.383100159471778</t>
  </si>
  <si>
    <t>0.227148073514037</t>
  </si>
  <si>
    <t>0.216713745301894</t>
  </si>
  <si>
    <t>0.17303802171229</t>
  </si>
  <si>
    <t>-0.476410209737257</t>
  </si>
  <si>
    <t>0.00512397660218486</t>
  </si>
  <si>
    <t>0.0042267026222378</t>
  </si>
  <si>
    <t>0.0041639888616492</t>
  </si>
  <si>
    <t>0.00365635256427999</t>
  </si>
  <si>
    <t>0.0216810418230651</t>
  </si>
  <si>
    <t>0.0240766656401051</t>
  </si>
  <si>
    <t>0.0245302851045538</t>
  </si>
  <si>
    <t>0.0255517695816084</t>
  </si>
  <si>
    <t>0.373108487483006</t>
  </si>
  <si>
    <t>0.21897069563205</t>
  </si>
  <si>
    <t>0.208663669514301</t>
  </si>
  <si>
    <t>0.165988605875874</t>
  </si>
  <si>
    <t>0.393191580197431</t>
  </si>
  <si>
    <t>0.23553873725013</t>
  </si>
  <si>
    <t>0.224986089161678</t>
  </si>
  <si>
    <t>0.180322091232485</t>
  </si>
  <si>
    <t>-0.518904270857771</t>
  </si>
  <si>
    <t>-0.433916148616743</t>
  </si>
  <si>
    <t>0.404785826881232</t>
  </si>
  <si>
    <t>0.226246639887976</t>
  </si>
  <si>
    <t>0.213820840824552</t>
  </si>
  <si>
    <t>0.15514669240624</t>
  </si>
  <si>
    <t>-0.385563190883772</t>
  </si>
  <si>
    <t>0.0136579947074773</t>
  </si>
  <si>
    <t>0.0107703499223129</t>
  </si>
  <si>
    <t>0.0111939906754732</t>
  </si>
  <si>
    <t>0.00834567831646143</t>
  </si>
  <si>
    <t>0.0566876401776034</t>
  </si>
  <si>
    <t>0.0615240799020533</t>
  </si>
  <si>
    <t>0.0665906694331533</t>
  </si>
  <si>
    <t>0.0636704341120479</t>
  </si>
  <si>
    <t>0.378323802756578</t>
  </si>
  <si>
    <t>0.205835646510717</t>
  </si>
  <si>
    <t>0.192699879407769</t>
  </si>
  <si>
    <t>0.139483833450663</t>
  </si>
  <si>
    <t>0.431813124629505</t>
  </si>
  <si>
    <t>0.248049447700776</t>
  </si>
  <si>
    <t>0.236578375032239</t>
  </si>
  <si>
    <t>0.17221636577652</t>
  </si>
  <si>
    <t>-0.496668924000441</t>
  </si>
  <si>
    <t>-0.274457457767104</t>
  </si>
  <si>
    <t>0.350445737387259</t>
  </si>
  <si>
    <t>0.254922260842262</t>
  </si>
  <si>
    <t>0.214878068640604</t>
  </si>
  <si>
    <t>0.179753933129875</t>
  </si>
  <si>
    <t>-0.617080498211883</t>
  </si>
  <si>
    <t>0.00393072133652068</t>
  </si>
  <si>
    <t>0.00362372564491661</t>
  </si>
  <si>
    <t>0.00330018921536735</t>
  </si>
  <si>
    <t>0.00298219754693177</t>
  </si>
  <si>
    <t>0.0172677613242459</t>
  </si>
  <si>
    <t>0.0190785761542927</t>
  </si>
  <si>
    <t>0.0195618371855807</t>
  </si>
  <si>
    <t>0.0202261791793505</t>
  </si>
  <si>
    <t>0.342781191149811</t>
  </si>
  <si>
    <t>0.247885198584318</t>
  </si>
  <si>
    <t>0.208480536320241</t>
  </si>
  <si>
    <t>0.173982953879157</t>
  </si>
  <si>
    <t>0.358188259720723</t>
  </si>
  <si>
    <t>0.262089479814893</t>
  </si>
  <si>
    <t>0.221417001407072</t>
  </si>
  <si>
    <t>0.185673306429246</t>
  </si>
  <si>
    <t>-0.650924688501039</t>
  </si>
  <si>
    <t>-0.583236307922727</t>
  </si>
  <si>
    <t>0.36512719894361</t>
  </si>
  <si>
    <t>0.245039460917003</t>
  </si>
  <si>
    <t>0.205363256489724</t>
  </si>
  <si>
    <t>0.184470083649662</t>
  </si>
  <si>
    <t>-0.553178882399946</t>
  </si>
  <si>
    <t>0.00237610612677614</t>
  </si>
  <si>
    <t>0.00212118303917854</t>
  </si>
  <si>
    <t>0.00192358144840196</t>
  </si>
  <si>
    <t>0.00185473332047554</t>
  </si>
  <si>
    <t>0.0102502610746554</t>
  </si>
  <si>
    <t>0.0114661565068663</t>
  </si>
  <si>
    <t>0.0117874318500196</t>
  </si>
  <si>
    <t>0.0123286530927379</t>
  </si>
  <si>
    <t>0.360482857093441</t>
  </si>
  <si>
    <t>0.240905877104544</t>
  </si>
  <si>
    <t>0.201618761365612</t>
  </si>
  <si>
    <t>0.180862553832065</t>
  </si>
  <si>
    <t>0.369796777071059</t>
  </si>
  <si>
    <t>0.249220684850847</t>
  </si>
  <si>
    <t>0.209159076068949</t>
  </si>
  <si>
    <t>0.188133043713689</t>
  </si>
  <si>
    <t>-0.573269024938404</t>
  </si>
  <si>
    <t>-0.533088739861489</t>
  </si>
  <si>
    <t>0.385873936036349</t>
  </si>
  <si>
    <t>0.220159622618558</t>
  </si>
  <si>
    <t>0.214069110395355</t>
  </si>
  <si>
    <t>0.179897330949738</t>
  </si>
  <si>
    <t>-0.464689497431324</t>
  </si>
  <si>
    <t>0.0043455131192372</t>
  </si>
  <si>
    <t>0.00346193092555534</t>
  </si>
  <si>
    <t>0.00345629021456564</t>
  </si>
  <si>
    <t>0.00320727237979863</t>
  </si>
  <si>
    <t>0.0183374140323182</t>
  </si>
  <si>
    <t>0.0201639219884836</t>
  </si>
  <si>
    <t>0.0205433771458565</t>
  </si>
  <si>
    <t>0.0217391670075409</t>
  </si>
  <si>
    <t>0.377392588292605</t>
  </si>
  <si>
    <t>0.213449446880093</t>
  </si>
  <si>
    <t>0.207372902801562</t>
  </si>
  <si>
    <t>0.173696700601543</t>
  </si>
  <si>
    <t>0.394425139823994</t>
  </si>
  <si>
    <t>0.227019860114689</t>
  </si>
  <si>
    <t>0.220921276654391</t>
  </si>
  <si>
    <t>0.186269413708259</t>
  </si>
  <si>
    <t>-0.500630168504267</t>
  </si>
  <si>
    <t>-0.428748826358381</t>
  </si>
  <si>
    <t>0.199822256403026</t>
  </si>
  <si>
    <t>0.451573818078881</t>
  </si>
  <si>
    <t>0.179531170958432</t>
  </si>
  <si>
    <t>0.169072754559661</t>
  </si>
  <si>
    <t>-0.194313834243915</t>
  </si>
  <si>
    <t>0.00258483397751895</t>
  </si>
  <si>
    <t>0.00334160299714128</t>
  </si>
  <si>
    <t>0.00247195915953916</t>
  </si>
  <si>
    <t>0.00233363600714251</t>
  </si>
  <si>
    <t>0.0161659908066276</t>
  </si>
  <si>
    <t>0.0134929812855081</t>
  </si>
  <si>
    <t>0.0167818309377643</t>
  </si>
  <si>
    <t>0.0166110272043552</t>
  </si>
  <si>
    <t>0.194804221533687</t>
  </si>
  <si>
    <t>0.445033154161969</t>
  </si>
  <si>
    <t>0.174737184642888</t>
  </si>
  <si>
    <t>0.164548060757516</t>
  </si>
  <si>
    <t>0.204936653374858</t>
  </si>
  <si>
    <t>0.4581312553249</t>
  </si>
  <si>
    <t>0.184427289441386</t>
  </si>
  <si>
    <t>0.173695999580145</t>
  </si>
  <si>
    <t>-0.220759591607584</t>
  </si>
  <si>
    <t>-0.167868076880247</t>
  </si>
  <si>
    <t>0.306491742669882</t>
  </si>
  <si>
    <t>0.297137206242476</t>
  </si>
  <si>
    <t>0.248701313801193</t>
  </si>
  <si>
    <t>0.147669737286449</t>
  </si>
  <si>
    <t>-0.816572332137357</t>
  </si>
  <si>
    <t>-0.860967694291628</t>
  </si>
  <si>
    <t>0.0027159961105863</t>
  </si>
  <si>
    <t>0.00271693848813341</t>
  </si>
  <si>
    <t>0.0024873600209388</t>
  </si>
  <si>
    <t>0.0019802316778443</t>
  </si>
  <si>
    <t>0.0127778777498089</t>
  </si>
  <si>
    <t>0.0130092486902541</t>
  </si>
  <si>
    <t>0.0133121419762108</t>
  </si>
  <si>
    <t>0.0157331829466176</t>
  </si>
  <si>
    <t>0.301194437082641</t>
  </si>
  <si>
    <t>0.291839792666449</t>
  </si>
  <si>
    <t>0.243858207353181</t>
  </si>
  <si>
    <t>0.143830569834352</t>
  </si>
  <si>
    <t>0.311840639780719</t>
  </si>
  <si>
    <t>0.302489703779744</t>
  </si>
  <si>
    <t>0.253608345491414</t>
  </si>
  <si>
    <t>0.15159323649716</t>
  </si>
  <si>
    <t>-0.841616512325839</t>
  </si>
  <si>
    <t>-0.886465353190451</t>
  </si>
  <si>
    <t>-0.791528151948876</t>
  </si>
  <si>
    <t>-0.835470035392805</t>
  </si>
  <si>
    <t>0.398504340109751</t>
  </si>
  <si>
    <t>0.197078299712275</t>
  </si>
  <si>
    <t>0.22200284830003</t>
  </si>
  <si>
    <t>0.182414511877944</t>
  </si>
  <si>
    <t>-0.411700930624118</t>
  </si>
  <si>
    <t>0.00225279989117656</t>
  </si>
  <si>
    <t>0.00180695783207733</t>
  </si>
  <si>
    <t>0.00185365513507904</t>
  </si>
  <si>
    <t>0.00174037271413062</t>
  </si>
  <si>
    <t>0.00939846790762953</t>
  </si>
  <si>
    <t>0.0114192088355368</t>
  </si>
  <si>
    <t>0.0107322896484629</t>
  </si>
  <si>
    <t>0.011669431688772</t>
  </si>
  <si>
    <t>0.394097297555924</t>
  </si>
  <si>
    <t>0.1935607226119</t>
  </si>
  <si>
    <t>0.218391004940495</t>
  </si>
  <si>
    <t>0.179028188921509</t>
  </si>
  <si>
    <t>0.402927892025418</t>
  </si>
  <si>
    <t>0.200643897049886</t>
  </si>
  <si>
    <t>0.225657180088375</t>
  </si>
  <si>
    <t>0.18585038713793</t>
  </si>
  <si>
    <t>-0.430121589232927</t>
  </si>
  <si>
    <t>-0.393280272015308</t>
  </si>
  <si>
    <t>0.651888292412185</t>
  </si>
  <si>
    <t>0.0667412690807601</t>
  </si>
  <si>
    <t>0.0919166675234953</t>
  </si>
  <si>
    <t>0.18945377098356</t>
  </si>
  <si>
    <t>0.627349789510782</t>
  </si>
  <si>
    <t>0.00394660799885696</t>
  </si>
  <si>
    <t>0.00166505009395642</t>
  </si>
  <si>
    <t>0.0022744486069848</t>
  </si>
  <si>
    <t>0.00311326384731308</t>
  </si>
  <si>
    <t>0.0173913053675749</t>
  </si>
  <si>
    <t>0.0267319587305288</t>
  </si>
  <si>
    <t>0.0272493503757192</t>
  </si>
  <si>
    <t>0.0202737872479716</t>
  </si>
  <si>
    <t>0.644113583515375</t>
  </si>
  <si>
    <t>0.0635509802482457</t>
  </si>
  <si>
    <t>0.0875549301407492</t>
  </si>
  <si>
    <t>0.18342704768545</t>
  </si>
  <si>
    <t>0.65958291944099</t>
  </si>
  <si>
    <t>0.0700797266797199</t>
  </si>
  <si>
    <t>0.0964727202675379</t>
  </si>
  <si>
    <t>0.195631070051445</t>
  </si>
  <si>
    <t>0.593263457346197</t>
  </si>
  <si>
    <t>0.661436121675367</t>
  </si>
  <si>
    <t>0.300833915308481</t>
  </si>
  <si>
    <t>0.292620257251785</t>
  </si>
  <si>
    <t>0.284288167234674</t>
  </si>
  <si>
    <t>0.12225766020506</t>
  </si>
  <si>
    <t>-0.843329981208421</t>
  </si>
  <si>
    <t>-0.882691922073595</t>
  </si>
  <si>
    <t>-0.923289220654053</t>
  </si>
  <si>
    <t>0.0311924094767818</t>
  </si>
  <si>
    <t>0.0296367970721998</t>
  </si>
  <si>
    <t>0.0302912499854669</t>
  </si>
  <si>
    <t>0.0189035239756059</t>
  </si>
  <si>
    <t>0.148300212761271</t>
  </si>
  <si>
    <t>0.143177330198278</t>
  </si>
  <si>
    <t>0.148874465079451</t>
  </si>
  <si>
    <t>0.176156894139238</t>
  </si>
  <si>
    <t>0.243424949373573</t>
  </si>
  <si>
    <t>0.238065575354955</t>
  </si>
  <si>
    <t>0.228803824299561</t>
  </si>
  <si>
    <t>0.0897669768531947</t>
  </si>
  <si>
    <t>0.36524588820474</t>
  </si>
  <si>
    <t>0.353870365009519</t>
  </si>
  <si>
    <t>0.347170352219741</t>
  </si>
  <si>
    <t>0.164384396964032</t>
  </si>
  <si>
    <t>-0.552666905296703</t>
  </si>
  <si>
    <t>-0.602069511482371</t>
  </si>
  <si>
    <t>-0.631500630880663</t>
  </si>
  <si>
    <t>0.253398709972856</t>
  </si>
  <si>
    <t>0.368420144377204</t>
  </si>
  <si>
    <t>0.203518004281318</t>
  </si>
  <si>
    <t>0.174663141368622</t>
  </si>
  <si>
    <t>-0.539000404065994</t>
  </si>
  <si>
    <t>0.0125391752374879</t>
  </si>
  <si>
    <t>0.0208407704555094</t>
  </si>
  <si>
    <t>0.0117627012937429</t>
  </si>
  <si>
    <t>0.0134406263478884</t>
  </si>
  <si>
    <t>0.0662789830447902</t>
  </si>
  <si>
    <t>0.0895657840782679</t>
  </si>
  <si>
    <t>0.0725651788757377</t>
  </si>
  <si>
    <t>0.0932367228707675</t>
  </si>
  <si>
    <t>0.229617628540223</t>
  </si>
  <si>
    <t>0.328595094230895</t>
  </si>
  <si>
    <t>0.181432052934249</t>
  </si>
  <si>
    <t>0.149863375414281</t>
  </si>
  <si>
    <t>0.27875156765797</t>
  </si>
  <si>
    <t>0.41012354017757</t>
  </si>
  <si>
    <t>0.227545144128997</t>
  </si>
  <si>
    <t>0.202588862416992</t>
  </si>
  <si>
    <t>-0.71454611510649</t>
  </si>
  <si>
    <t>-0.950662697647089</t>
  </si>
  <si>
    <t>-0.363454693025498</t>
  </si>
  <si>
    <t>0.364375797331512</t>
  </si>
  <si>
    <t>0.252040832288356</t>
  </si>
  <si>
    <t>0.210810918388005</t>
  </si>
  <si>
    <t>0.172772451992128</t>
  </si>
  <si>
    <t>-0.556421767077308</t>
  </si>
  <si>
    <t>0.00339443217235288</t>
  </si>
  <si>
    <t>0.003560423368629</t>
  </si>
  <si>
    <t>0.00265176874127584</t>
  </si>
  <si>
    <t>0.00294651003951331</t>
  </si>
  <si>
    <t>0.0146560584078746</t>
  </si>
  <si>
    <t>0.0188865593653172</t>
  </si>
  <si>
    <t>0.0159390149680699</t>
  </si>
  <si>
    <t>0.0206161915015806</t>
  </si>
  <si>
    <t>0.357749104799853</t>
  </si>
  <si>
    <t>0.245126782181963</t>
  </si>
  <si>
    <t>0.205660496157542</t>
  </si>
  <si>
    <t>0.167073526605633</t>
  </si>
  <si>
    <t>0.371054321457203</t>
  </si>
  <si>
    <t>0.259082967386865</t>
  </si>
  <si>
    <t>0.216055241571608</t>
  </si>
  <si>
    <t>0.178624081284087</t>
  </si>
  <si>
    <t>-0.585147113712058</t>
  </si>
  <si>
    <t>-0.527696420442558</t>
  </si>
  <si>
    <t>0.404405492675312</t>
  </si>
  <si>
    <t>0.218326409988791</t>
  </si>
  <si>
    <t>0.192197999246461</t>
  </si>
  <si>
    <t>0.185070098089436</t>
  </si>
  <si>
    <t>-0.387142009342591</t>
  </si>
  <si>
    <t>0.00714900403004777</t>
  </si>
  <si>
    <t>0.00657982609060392</t>
  </si>
  <si>
    <t>0.0052254871258161</t>
  </si>
  <si>
    <t>0.00606677981010286</t>
  </si>
  <si>
    <t>0.0296809510263807</t>
  </si>
  <si>
    <t>0.0385551771162274</t>
  </si>
  <si>
    <t>0.0336568134197827</t>
  </si>
  <si>
    <t>0.0402255252946762</t>
  </si>
  <si>
    <t>0.390475098577186</t>
  </si>
  <si>
    <t>0.20570484539267</t>
  </si>
  <si>
    <t>0.182163614431931</t>
  </si>
  <si>
    <t>0.173473372555338</t>
  </si>
  <si>
    <t>0.418491644998231</t>
  </si>
  <si>
    <t>0.231496697190548</t>
  </si>
  <si>
    <t>0.202648162011407</t>
  </si>
  <si>
    <t>0.19725704892497</t>
  </si>
  <si>
    <t>-0.445315604381194</t>
  </si>
  <si>
    <t>-0.328968414303987</t>
  </si>
  <si>
    <t>0.323558274473528</t>
  </si>
  <si>
    <t>0.282878201355585</t>
  </si>
  <si>
    <t>0.204127937863342</t>
  </si>
  <si>
    <t>0.189435586307545</t>
  </si>
  <si>
    <t>-0.737467067577558</t>
  </si>
  <si>
    <t>-0.930229277660284</t>
  </si>
  <si>
    <t>0.00309918543398791</t>
  </si>
  <si>
    <t>0.00350569271106289</t>
  </si>
  <si>
    <t>0.00250179615825243</t>
  </si>
  <si>
    <t>0.00291852137044179</t>
  </si>
  <si>
    <t>0.0141600459558685</t>
  </si>
  <si>
    <t>0.0172815001557397</t>
  </si>
  <si>
    <t>0.0153994855734706</t>
  </si>
  <si>
    <t>0.0190070089105832</t>
  </si>
  <si>
    <t>0.317513968472249</t>
  </si>
  <si>
    <t>0.276057978925374</t>
  </si>
  <si>
    <t>0.199268273891266</t>
  </si>
  <si>
    <t>0.183781458687594</t>
  </si>
  <si>
    <t>0.329662063680072</t>
  </si>
  <si>
    <t>0.289799471231545</t>
  </si>
  <si>
    <t>0.20907517216122</t>
  </si>
  <si>
    <t>0.195222060348834</t>
  </si>
  <si>
    <t>-0.765220247670493</t>
  </si>
  <si>
    <t>-0.964100395564357</t>
  </si>
  <si>
    <t>-0.709713887484624</t>
  </si>
  <si>
    <t>-0.896358159756211</t>
  </si>
  <si>
    <t>0.212733618044466</t>
  </si>
  <si>
    <t>0.523564877775932</t>
  </si>
  <si>
    <t>0.136809761155491</t>
  </si>
  <si>
    <t>0.12689174302411</t>
  </si>
  <si>
    <t>0.09432939444035</t>
  </si>
  <si>
    <t>0.0327166412157911</t>
  </si>
  <si>
    <t>0.0655826530992449</t>
  </si>
  <si>
    <t>0.0239614433471235</t>
  </si>
  <si>
    <t>0.0367505470340062</t>
  </si>
  <si>
    <t>0.195348858812182</t>
  </si>
  <si>
    <t>0.262914601954411</t>
  </si>
  <si>
    <t>0.202903421031205</t>
  </si>
  <si>
    <t>0.331712891165839</t>
  </si>
  <si>
    <t>0.155591469284791</t>
  </si>
  <si>
    <t>0.396283762277272</t>
  </si>
  <si>
    <t>0.0962392710874476</t>
  </si>
  <si>
    <t>0.0705107167940879</t>
  </si>
  <si>
    <t>0.283808235092835</t>
  </si>
  <si>
    <t>0.647856976135559</t>
  </si>
  <si>
    <t>0.190871031069056</t>
  </si>
  <si>
    <t>0.217792048178602</t>
  </si>
  <si>
    <t>-0.420973756399979</t>
  </si>
  <si>
    <t>-0.925649177638356</t>
  </si>
  <si>
    <t>0.609632545280679</t>
  </si>
  <si>
    <t>0.4119838443541</t>
  </si>
  <si>
    <t>0.193674607167809</t>
  </si>
  <si>
    <t>0.218072070509188</t>
  </si>
  <si>
    <t>0.176269477968902</t>
  </si>
  <si>
    <t>-0.355770287261524</t>
  </si>
  <si>
    <t>0.0027078144705352</t>
  </si>
  <si>
    <t>0.00226386811234953</t>
  </si>
  <si>
    <t>0.00214090064330665</t>
  </si>
  <si>
    <t>0.00221492812773998</t>
  </si>
  <si>
    <t>0.0111776230757356</t>
  </si>
  <si>
    <t>0.0144966649555801</t>
  </si>
  <si>
    <t>0.0125553764782215</t>
  </si>
  <si>
    <t>0.015254478377267</t>
  </si>
  <si>
    <t>0.406687050824907</t>
  </si>
  <si>
    <t>0.189276086098263</t>
  </si>
  <si>
    <t>0.213905101836384</t>
  </si>
  <si>
    <t>0.171970231141822</t>
  </si>
  <si>
    <t>0.417301103451851</t>
  </si>
  <si>
    <t>0.198150361230366</t>
  </si>
  <si>
    <t>0.222297258565661</t>
  </si>
  <si>
    <t>0.180652756429758</t>
  </si>
  <si>
    <t>-0.37767802592273</t>
  </si>
  <si>
    <t>-0.333862548600319</t>
  </si>
  <si>
    <t>0.173585818040198</t>
  </si>
  <si>
    <t>0.464563503047768</t>
  </si>
  <si>
    <t>0.152296862671358</t>
  </si>
  <si>
    <t>0.209553816240676</t>
  </si>
  <si>
    <t>-0.1419840347922</t>
  </si>
  <si>
    <t>0.0074594051856215</t>
  </si>
  <si>
    <t>0.0145442995349535</t>
  </si>
  <si>
    <t>0.00699120760401418</t>
  </si>
  <si>
    <t>0.0112464743311908</t>
  </si>
  <si>
    <t>0.0519986652928717</t>
  </si>
  <si>
    <t>0.0584708963567607</t>
  </si>
  <si>
    <t>0.0541523678623199</t>
  </si>
  <si>
    <t>0.0678966762913565</t>
  </si>
  <si>
    <t>0.159448198915512</t>
  </si>
  <si>
    <t>0.436203403451023</t>
  </si>
  <si>
    <t>0.139093979435681</t>
  </si>
  <si>
    <t>0.188361503849152</t>
  </si>
  <si>
    <t>0.188695558070799</t>
  </si>
  <si>
    <t>0.493154631790892</t>
  </si>
  <si>
    <t>0.166510581085406</t>
  </si>
  <si>
    <t>0.232447596052329</t>
  </si>
  <si>
    <t>-0.256584885795225</t>
  </si>
  <si>
    <t>-0.0273831837891749</t>
  </si>
  <si>
    <t>0.173739754630263</t>
  </si>
  <si>
    <t>0.378735142905102</t>
  </si>
  <si>
    <t>0.106654995850219</t>
  </si>
  <si>
    <t>0.340870106614415</t>
  </si>
  <si>
    <t>-0.494920362564766</t>
  </si>
  <si>
    <t>-0.65941913619004</t>
  </si>
  <si>
    <t>0.00949830510182425</t>
  </si>
  <si>
    <t>0.0203829937259301</t>
  </si>
  <si>
    <t>0.00746765216452531</t>
  </si>
  <si>
    <t>0.0188243891757163</t>
  </si>
  <si>
    <t>0.0661652647011227</t>
  </si>
  <si>
    <t>0.0866274594382091</t>
  </si>
  <si>
    <t>0.0783761027817416</t>
  </si>
  <si>
    <t>0.0837839763365153</t>
  </si>
  <si>
    <t>0.155903077339117</t>
  </si>
  <si>
    <t>0.339683029124854</t>
  </si>
  <si>
    <t>0.0928781892193864</t>
  </si>
  <si>
    <t>0.304993080473367</t>
  </si>
  <si>
    <t>0.193150148009675</t>
  </si>
  <si>
    <t>0.419425147105121</t>
  </si>
  <si>
    <t>0.122200054422494</t>
  </si>
  <si>
    <t>0.378668039722058</t>
  </si>
  <si>
    <t>-0.66470706313586</t>
  </si>
  <si>
    <t>-0.823632712291166</t>
  </si>
  <si>
    <t>-0.325133661993672</t>
  </si>
  <si>
    <t>-0.495205560088914</t>
  </si>
  <si>
    <t>0.376026317872135</t>
  </si>
  <si>
    <t>0.241903647090279</t>
  </si>
  <si>
    <t>0.208043866892251</t>
  </si>
  <si>
    <t>0.174026168145336</t>
  </si>
  <si>
    <t>-0.506449056121665</t>
  </si>
  <si>
    <t>0.00303234011619911</t>
  </si>
  <si>
    <t>0.00307146717041821</t>
  </si>
  <si>
    <t>0.00232849797179284</t>
  </si>
  <si>
    <t>0.00265263885594512</t>
  </si>
  <si>
    <t>0.012923894286433</t>
  </si>
  <si>
    <t>0.0167486209661475</t>
  </si>
  <si>
    <t>0.0141325268803924</t>
  </si>
  <si>
    <t>0.0184542874422076</t>
  </si>
  <si>
    <t>0.370101961471233</t>
  </si>
  <si>
    <t>0.235934788898742</t>
  </si>
  <si>
    <t>0.20351699282999</t>
  </si>
  <si>
    <t>0.168888229940468</t>
  </si>
  <si>
    <t>0.381987997984893</t>
  </si>
  <si>
    <t>0.247974501989556</t>
  </si>
  <si>
    <t>0.212644550466126</t>
  </si>
  <si>
    <t>0.17928669492607</t>
  </si>
  <si>
    <t>-0.531779423463076</t>
  </si>
  <si>
    <t>-0.481118688780253</t>
  </si>
  <si>
    <t>0.253269596594761</t>
  </si>
  <si>
    <t>0.351124756915884</t>
  </si>
  <si>
    <t>0.162644033358464</t>
  </si>
  <si>
    <t>0.232961613130891</t>
  </si>
  <si>
    <t>-0.614098875647897</t>
  </si>
  <si>
    <t>0.00647025076287409</t>
  </si>
  <si>
    <t>0.00888294266083968</t>
  </si>
  <si>
    <t>0.00529377067241141</t>
  </si>
  <si>
    <t>0.00746679722442615</t>
  </si>
  <si>
    <t>0.0342116657156156</t>
  </si>
  <si>
    <t>0.0389882913361684</t>
  </si>
  <si>
    <t>0.0388702083622919</t>
  </si>
  <si>
    <t>0.0417862014320992</t>
  </si>
  <si>
    <t>0.240799123864782</t>
  </si>
  <si>
    <t>0.333918624935039</t>
  </si>
  <si>
    <t>0.15253318426153</t>
  </si>
  <si>
    <t>0.21864800225336</t>
  </si>
  <si>
    <t>0.266159478200554</t>
  </si>
  <si>
    <t>0.368726686679241</t>
  </si>
  <si>
    <t>0.173288049489646</t>
  </si>
  <si>
    <t>0.247914943160173</t>
  </si>
  <si>
    <t>-0.690514522485543</t>
  </si>
  <si>
    <t>-0.537683228810252</t>
  </si>
  <si>
    <t>0.300781656502655</t>
  </si>
  <si>
    <t>0.302363215339297</t>
  </si>
  <si>
    <t>0.188486395866337</t>
  </si>
  <si>
    <t>0.20836873229171</t>
  </si>
  <si>
    <t>-0.843578451131542</t>
  </si>
  <si>
    <t>-0.836069606999646</t>
  </si>
  <si>
    <t>0.00298005819337589</t>
  </si>
  <si>
    <t>0.0035753412788132</t>
  </si>
  <si>
    <t>0.00236649018016221</t>
  </si>
  <si>
    <t>0.00307460138107286</t>
  </si>
  <si>
    <t>0.014169697696844</t>
  </si>
  <si>
    <t>0.016949589176189</t>
  </si>
  <si>
    <t>0.0154713742519472</t>
  </si>
  <si>
    <t>0.0186394601082183</t>
  </si>
  <si>
    <t>0.294973358724326</t>
  </si>
  <si>
    <t>0.295402019881583</t>
  </si>
  <si>
    <t>0.183891912487648</t>
  </si>
  <si>
    <t>0.202406806159144</t>
  </si>
  <si>
    <t>0.306654578945188</t>
  </si>
  <si>
    <t>0.309416415383625</t>
  </si>
  <si>
    <t>0.193168500403117</t>
  </si>
  <si>
    <t>0.214459049578104</t>
  </si>
  <si>
    <t>-0.871350548289177</t>
  </si>
  <si>
    <t>-0.869290191337726</t>
  </si>
  <si>
    <t>-0.815806353973908</t>
  </si>
  <si>
    <t>-0.802849022661566</t>
  </si>
  <si>
    <t>0.291419195633652</t>
  </si>
  <si>
    <t>0.264317418485224</t>
  </si>
  <si>
    <t>0.213191101967877</t>
  </si>
  <si>
    <t>0.231072283913247</t>
  </si>
  <si>
    <t>-0.88850133712464</t>
  </si>
  <si>
    <t>0.0288059233416633</t>
  </si>
  <si>
    <t>0.0453232339987936</t>
  </si>
  <si>
    <t>0.0247196403709791</t>
  </si>
  <si>
    <t>0.0395606470693372</t>
  </si>
  <si>
    <t>0.139500017621351</t>
  </si>
  <si>
    <t>0.233079798212132</t>
  </si>
  <si>
    <t>0.147368210897926</t>
  </si>
  <si>
    <t>0.222653750064528</t>
  </si>
  <si>
    <t>0.238319249231497</t>
  </si>
  <si>
    <t>0.185355527491589</t>
  </si>
  <si>
    <t>0.168733088834222</t>
  </si>
  <si>
    <t>0.162647517215883</t>
  </si>
  <si>
    <t>0.350899812934591</t>
  </si>
  <si>
    <t>0.361970912662012</t>
  </si>
  <si>
    <t>0.265619967988182</t>
  </si>
  <si>
    <t>0.317372522144906</t>
  </si>
  <si>
    <t>-0.61508632674409</t>
  </si>
  <si>
    <t>-0.566820016909387</t>
  </si>
  <si>
    <t>-0.765873057705231</t>
  </si>
  <si>
    <t>0.43352272578378</t>
  </si>
  <si>
    <t>0.179451416882243</t>
  </si>
  <si>
    <t>0.235197481436293</t>
  </si>
  <si>
    <t>0.151828375897684</t>
  </si>
  <si>
    <t>-0.267492744740347</t>
  </si>
  <si>
    <t>0.00301718139195229</t>
  </si>
  <si>
    <t>0.00242944024826283</t>
  </si>
  <si>
    <t>0.00244150868715131</t>
  </si>
  <si>
    <t>0.00224676230565879</t>
  </si>
  <si>
    <t>0.0122859023824359</t>
  </si>
  <si>
    <t>0.0164989015281605</t>
  </si>
  <si>
    <t>0.0135730140163187</t>
  </si>
  <si>
    <t>0.0174469872511975</t>
  </si>
  <si>
    <t>0.427618894855261</t>
  </si>
  <si>
    <t>0.174739058831806</t>
  </si>
  <si>
    <t>0.23044596433776</t>
  </si>
  <si>
    <t>0.147477033312658</t>
  </si>
  <si>
    <t>0.439445487426808</t>
  </si>
  <si>
    <t>0.184262482912665</t>
  </si>
  <si>
    <t>0.240016413014552</t>
  </si>
  <si>
    <t>0.156284569837011</t>
  </si>
  <si>
    <t>-0.291572670927496</t>
  </si>
  <si>
    <t>-0.243412818553197</t>
  </si>
  <si>
    <t>0.29190127739265</t>
  </si>
  <si>
    <t>0.292306306006396</t>
  </si>
  <si>
    <t>0.195581183834342</t>
  </si>
  <si>
    <t>0.220211232766612</t>
  </si>
  <si>
    <t>-0.886167868702462</t>
  </si>
  <si>
    <t>-0.884209118845686</t>
  </si>
  <si>
    <t>0.0092905263861185</t>
  </si>
  <si>
    <t>0.0114126630405016</t>
  </si>
  <si>
    <t>0.00733502756644589</t>
  </si>
  <si>
    <t>0.0106647220711488</t>
  </si>
  <si>
    <t>0.0449480147455522</t>
  </si>
  <si>
    <t>0.0551700635847338</t>
  </si>
  <si>
    <t>0.0466221673752625</t>
  </si>
  <si>
    <t>0.0621059342052453</t>
  </si>
  <si>
    <t>0.274031341523739</t>
  </si>
  <si>
    <t>0.270450041611226</t>
  </si>
  <si>
    <t>0.181603341949792</t>
  </si>
  <si>
    <t>0.200021301606947</t>
  </si>
  <si>
    <t>0.310438220766948</t>
  </si>
  <si>
    <t>0.315165829011775</t>
  </si>
  <si>
    <t>0.210358350918081</t>
  </si>
  <si>
    <t>0.241823068052163</t>
  </si>
  <si>
    <t>-0.97426435878032</t>
  </si>
  <si>
    <t>-0.992340456496549</t>
  </si>
  <si>
    <t>-0.798071378624605</t>
  </si>
  <si>
    <t>-0.776077781194823</t>
  </si>
  <si>
    <t>Sheet</t>
  </si>
  <si>
    <t>Q2Q3_comparison</t>
  </si>
  <si>
    <t>Description</t>
  </si>
  <si>
    <t>These are the predicted probs and observed frequencies for the directions per connectedness cathegory</t>
  </si>
  <si>
    <t>Q2Q3_noranking</t>
  </si>
  <si>
    <t>Every variable and predicted prob info for Q2Q3 comparison for models without ranking</t>
  </si>
  <si>
    <t>Every variable and predicted prob info for Q2Q3 comparison for models with ranking</t>
  </si>
  <si>
    <t>connectedness_cat_coauth</t>
  </si>
  <si>
    <t>0.53988271828185</t>
  </si>
  <si>
    <t>0.0460478335262925</t>
  </si>
  <si>
    <t>0.0469572924929591</t>
  </si>
  <si>
    <t>0.367112155698899</t>
  </si>
  <si>
    <t>0.15987051035942</t>
  </si>
  <si>
    <t>-0.544625822519458</t>
  </si>
  <si>
    <t>0.00258196945932651</t>
  </si>
  <si>
    <t>0.000928306252395884</t>
  </si>
  <si>
    <t>0.000948829769449089</t>
  </si>
  <si>
    <t>0.00249861498193938</t>
  </si>
  <si>
    <t>0.0103940099843324</t>
  </si>
  <si>
    <t>0.0211327236920531</t>
  </si>
  <si>
    <t>0.0212018077224257</t>
  </si>
  <si>
    <t>0.010754093804688</t>
  </si>
  <si>
    <t>0.534818211442779</t>
  </si>
  <si>
    <t>0.044262215901764</t>
  </si>
  <si>
    <t>0.0451322415083999</t>
  </si>
  <si>
    <t>0.36222881915229</t>
  </si>
  <si>
    <t>0.544939002402721</t>
  </si>
  <si>
    <t>0.0479018757680343</t>
  </si>
  <si>
    <t>0.0488523688527371</t>
  </si>
  <si>
    <t>0.372022924142725</t>
  </si>
  <si>
    <t>0.139498625135179</t>
  </si>
  <si>
    <t>-0.565703459063012</t>
  </si>
  <si>
    <t>0.180242395583661</t>
  </si>
  <si>
    <t>-0.523548185975904</t>
  </si>
  <si>
    <t>0.481795332170662</t>
  </si>
  <si>
    <t>0.0908450490246309</t>
  </si>
  <si>
    <t>0.0826172604564365</t>
  </si>
  <si>
    <t>0.344742358348271</t>
  </si>
  <si>
    <t>-0.0728508740425244</t>
  </si>
  <si>
    <t>-0.642231153677722</t>
  </si>
  <si>
    <t>0.00272642518934564</t>
  </si>
  <si>
    <t>0.00142076218140547</t>
  </si>
  <si>
    <t>0.00137539549086145</t>
  </si>
  <si>
    <t>0.00257072594310728</t>
  </si>
  <si>
    <t>0.0109201769777676</t>
  </si>
  <si>
    <t>0.0172021296510033</t>
  </si>
  <si>
    <t>0.0181470585993057</t>
  </si>
  <si>
    <t>0.011380177545808</t>
  </si>
  <si>
    <t>0.476453922110142</t>
  </si>
  <si>
    <t>0.0880985540691507</t>
  </si>
  <si>
    <t>0.0799612441680583</t>
  </si>
  <si>
    <t>0.339721423645753</t>
  </si>
  <si>
    <t>0.487140906119837</t>
  </si>
  <si>
    <t>0.0936683717022223</t>
  </si>
  <si>
    <t>0.0853533151896071</t>
  </si>
  <si>
    <t>0.349798187245426</t>
  </si>
  <si>
    <t>-0.0942540276237524</t>
  </si>
  <si>
    <t>-0.664535891805177</t>
  </si>
  <si>
    <t>-0.0514477204612964</t>
  </si>
  <si>
    <t>-0.619926415550267</t>
  </si>
  <si>
    <t>0.401617292504404</t>
  </si>
  <si>
    <t>0.170813977450265</t>
  </si>
  <si>
    <t>0.134634023916093</t>
  </si>
  <si>
    <t>0.292934706129238</t>
  </si>
  <si>
    <t>-0.398730901865555</t>
  </si>
  <si>
    <t>-0.881173276848331</t>
  </si>
  <si>
    <t>0.0029402752557361</t>
  </si>
  <si>
    <t>0.00228691688759563</t>
  </si>
  <si>
    <t>0.00202602785439967</t>
  </si>
  <si>
    <t>0.00266859333264897</t>
  </si>
  <si>
    <t>0.0122347908765349</t>
  </si>
  <si>
    <t>0.0161463738338114</t>
  </si>
  <si>
    <t>0.0173896471493618</t>
  </si>
  <si>
    <t>0.0128840394909243</t>
  </si>
  <si>
    <t>0.3958682973694</t>
  </si>
  <si>
    <t>0.166378281862645</t>
  </si>
  <si>
    <t>0.130712298382041</t>
  </si>
  <si>
    <t>0.287731840865047</t>
  </si>
  <si>
    <t>0.407393476454675</t>
  </si>
  <si>
    <t>0.175343055987941</t>
  </si>
  <si>
    <t>0.13865464431083</t>
  </si>
  <si>
    <t>0.298192264633595</t>
  </si>
  <si>
    <t>-0.422710651341943</t>
  </si>
  <si>
    <t>-0.906425530225935</t>
  </si>
  <si>
    <t>-0.374751152389167</t>
  </si>
  <si>
    <t>-0.855921023470728</t>
  </si>
  <si>
    <t>0.79627983659745</t>
  </si>
  <si>
    <t>0.015425230126184</t>
  </si>
  <si>
    <t>0.0713408200867907</t>
  </si>
  <si>
    <t>0.116954113189576</t>
  </si>
  <si>
    <t>0.00186710734932014</t>
  </si>
  <si>
    <t>0.000473041679731794</t>
  </si>
  <si>
    <t>0.00114893424342681</t>
  </si>
  <si>
    <t>0.00151339047982136</t>
  </si>
  <si>
    <t>0.0115098470877389</t>
  </si>
  <si>
    <t>0.031147203018074</t>
  </si>
  <si>
    <t>0.0173420614203076</t>
  </si>
  <si>
    <t>0.0146538663237505</t>
  </si>
  <si>
    <t>0.792595907229436</t>
  </si>
  <si>
    <t>0.014524995792193</t>
  </si>
  <si>
    <t>0.0691214996140697</t>
  </si>
  <si>
    <t>0.114020399215946</t>
  </si>
  <si>
    <t>0.799914850106773</t>
  </si>
  <si>
    <t>0.0163803320296684</t>
  </si>
  <si>
    <t>0.0736257615480588</t>
  </si>
  <si>
    <t>0.119953091068608</t>
  </si>
  <si>
    <t>0.730039212186196</t>
  </si>
  <si>
    <t>0.0294957671844345</t>
  </si>
  <si>
    <t>0.135234420411584</t>
  </si>
  <si>
    <t>0.105230600217786</t>
  </si>
  <si>
    <t>0.994821529891189</t>
  </si>
  <si>
    <t>0.00218567657739879</t>
  </si>
  <si>
    <t>0.000744134766229672</t>
  </si>
  <si>
    <t>0.00168414580301916</t>
  </si>
  <si>
    <t>0.00147154486723243</t>
  </si>
  <si>
    <t>0.0110901909433883</t>
  </si>
  <si>
    <t>0.0259952779172929</t>
  </si>
  <si>
    <t>0.0144010463538684</t>
  </si>
  <si>
    <t>0.0156286094102362</t>
  </si>
  <si>
    <t>0.725734007352947</t>
  </si>
  <si>
    <t>0.0280717349259057</t>
  </si>
  <si>
    <t>0.13196740837157</t>
  </si>
  <si>
    <t>0.102381105262758</t>
  </si>
  <si>
    <t>0.734301578975586</t>
  </si>
  <si>
    <t>0.0309897349038149</t>
  </si>
  <si>
    <t>0.138569400082572</t>
  </si>
  <si>
    <t>0.10814984756275</t>
  </si>
  <si>
    <t>0.973085155060476</t>
  </si>
  <si>
    <t>0.618288008119693</t>
  </si>
  <si>
    <t>0.0552094456817713</t>
  </si>
  <si>
    <t>0.237926990047482</t>
  </si>
  <si>
    <t>0.0885755561510542</t>
  </si>
  <si>
    <t>0.482288005166819</t>
  </si>
  <si>
    <t>0.00277598783038472</t>
  </si>
  <si>
    <t>0.00127835737770487</t>
  </si>
  <si>
    <t>0.00249751749458389</t>
  </si>
  <si>
    <t>0.00144738729074693</t>
  </si>
  <si>
    <t>0.0117622642122129</t>
  </si>
  <si>
    <t>0.0245077449925738</t>
  </si>
  <si>
    <t>0.0137742590970264</t>
  </si>
  <si>
    <t>0.0179287575806013</t>
  </si>
  <si>
    <t>0.61283253668065</t>
  </si>
  <si>
    <t>0.0527567844307602</t>
  </si>
  <si>
    <t>0.233066628926461</t>
  </si>
  <si>
    <t>0.0857794412854076</t>
  </si>
  <si>
    <t>0.623713808014715</t>
  </si>
  <si>
    <t>0.0577691771283105</t>
  </si>
  <si>
    <t>0.242856613043837</t>
  </si>
  <si>
    <t>0.091453697220309</t>
  </si>
  <si>
    <t>0.459234390934237</t>
  </si>
  <si>
    <t>0.5053416193994</t>
  </si>
  <si>
    <t>0.688466705734997</t>
  </si>
  <si>
    <t>0.0379238601839647</t>
  </si>
  <si>
    <t>0.180211916014693</t>
  </si>
  <si>
    <t>0.0933975180663452</t>
  </si>
  <si>
    <t>0.792960743124438</t>
  </si>
  <si>
    <t>0.00234550300810082</t>
  </si>
  <si>
    <t>0.000767855334181451</t>
  </si>
  <si>
    <t>0.00187665375965973</t>
  </si>
  <si>
    <t>0.00151160914291925</t>
  </si>
  <si>
    <t>0.0109357502718465</t>
  </si>
  <si>
    <t>0.0210454116432798</t>
  </si>
  <si>
    <t>0.0127027879311484</t>
  </si>
  <si>
    <t>0.0178520161440917</t>
  </si>
  <si>
    <t>0.683851136260652</t>
  </si>
  <si>
    <t>0.0364472447803115</t>
  </si>
  <si>
    <t>0.176562982672152</t>
  </si>
  <si>
    <t>0.0904766707044285</t>
  </si>
  <si>
    <t>0.693045137147928</t>
  </si>
  <si>
    <t>0.0394578490638411</t>
  </si>
  <si>
    <t>0.183919416537868</t>
  </si>
  <si>
    <t>0.0964026643982523</t>
  </si>
  <si>
    <t>0.771527066447694</t>
  </si>
  <si>
    <t>0.814394419801181</t>
  </si>
  <si>
    <t>0.498462406050907</t>
  </si>
  <si>
    <t>0.083738701634703</t>
  </si>
  <si>
    <t>0.364394253947718</t>
  </si>
  <si>
    <t>0.0534046383666722</t>
  </si>
  <si>
    <t>-0.00615039518406827</t>
  </si>
  <si>
    <t>-0.55634207824924</t>
  </si>
  <si>
    <t>0.00243233057489747</t>
  </si>
  <si>
    <t>0.00126074537810826</t>
  </si>
  <si>
    <t>0.00229229347127551</t>
  </si>
  <si>
    <t>0.00101673171804317</t>
  </si>
  <si>
    <t>0.00972941430852646</t>
  </si>
  <si>
    <t>0.016431674333978</t>
  </si>
  <si>
    <t>0.00989716664275245</t>
  </si>
  <si>
    <t>0.0201123594158357</t>
  </si>
  <si>
    <t>0.493695409952262</t>
  </si>
  <si>
    <t>0.0813005820152606</t>
  </si>
  <si>
    <t>0.359913368743843</t>
  </si>
  <si>
    <t>0.051446604692215</t>
  </si>
  <si>
    <t>0.503229681693963</t>
  </si>
  <si>
    <t>0.0862430740774206</t>
  </si>
  <si>
    <t>0.368898774452693</t>
  </si>
  <si>
    <t>0.0554328388777831</t>
  </si>
  <si>
    <t>-0.0252196968194488</t>
  </si>
  <si>
    <t>-0.575740168418026</t>
  </si>
  <si>
    <t>0.0129189064513123</t>
  </si>
  <si>
    <t>-0.536943988080454</t>
  </si>
  <si>
    <t>0.28316831829963</t>
  </si>
  <si>
    <t>0.122619850251957</t>
  </si>
  <si>
    <t>0.571148786170992</t>
  </si>
  <si>
    <t>0.0230630452774214</t>
  </si>
  <si>
    <t>-0.928799574334031</t>
  </si>
  <si>
    <t>0.286539709080548</t>
  </si>
  <si>
    <t>0.00235216668091394</t>
  </si>
  <si>
    <t>0.00172954360285682</t>
  </si>
  <si>
    <t>0.00257221750820487</t>
  </si>
  <si>
    <t>0.000641824734126832</t>
  </si>
  <si>
    <t>0.0115879400749296</t>
  </si>
  <si>
    <t>0.0160761825613668</t>
  </si>
  <si>
    <t>0.010501510917269</t>
  </si>
  <si>
    <t>0.0284861174079567</t>
  </si>
  <si>
    <t>0.278580944807996</t>
  </si>
  <si>
    <t>0.119270115149307</t>
  </si>
  <si>
    <t>0.566100117328279</t>
  </si>
  <si>
    <t>0.0218380301020667</t>
  </si>
  <si>
    <t>0.28780109603497</t>
  </si>
  <si>
    <t>0.126050199121844</t>
  </si>
  <si>
    <t>0.576182690354779</t>
  </si>
  <si>
    <t>0.024355067296946</t>
  </si>
  <si>
    <t>-0.951511519535902</t>
  </si>
  <si>
    <t>0.265957125899447</t>
  </si>
  <si>
    <t>-0.906087629132161</t>
  </si>
  <si>
    <t>0.307122292261649</t>
  </si>
  <si>
    <t>proxy_comparison</t>
  </si>
  <si>
    <t>Connectedness cat comparison with models with the rest of proxy pairs, models with ranking</t>
  </si>
  <si>
    <t>Q2Q3_model_diagnostic</t>
  </si>
  <si>
    <t>Model diagnostic measures for Q2Q3 models with ranking and no ranking</t>
  </si>
  <si>
    <t>McFadden</t>
  </si>
  <si>
    <t>r2ML</t>
  </si>
  <si>
    <t>r2CU</t>
  </si>
  <si>
    <t>McFadden’s pseudo r-squared</t>
  </si>
  <si>
    <t>Maximum likelihood pseudo r-squared</t>
  </si>
  <si>
    <t>Cragg and Uhler’s pseudo r-squared</t>
  </si>
  <si>
    <t>https://cran.r-project.org/web/packages/pscl/pscl.pdf</t>
  </si>
  <si>
    <t>Pseudo R-squareds</t>
  </si>
  <si>
    <t>Confusion matrices</t>
  </si>
  <si>
    <t>Model predicted probabilites</t>
  </si>
  <si>
    <t>0.942765932379424</t>
  </si>
  <si>
    <t>0.0572088625721872</t>
  </si>
  <si>
    <t>0.00586379783978056</t>
  </si>
  <si>
    <t>0.00586350518181474</t>
  </si>
  <si>
    <t>0.108672709755072</t>
  </si>
  <si>
    <t>0.121678416396984</t>
  </si>
  <si>
    <t>0.108712256103844</t>
  </si>
  <si>
    <t>0.0851137428015674</t>
  </si>
  <si>
    <t>0.930129099326374</t>
  </si>
  <si>
    <t>0.046743533771931</t>
  </si>
  <si>
    <t>0.953232187989081</t>
  </si>
  <si>
    <t>0.0698455782118285</t>
  </si>
  <si>
    <t>0.925425711787946</t>
  </si>
  <si>
    <t>0.0740973199696556</t>
  </si>
  <si>
    <t>0.00038740238675411</t>
  </si>
  <si>
    <t>0.00531187645542127</t>
  </si>
  <si>
    <t>0.00530853842121964</t>
  </si>
  <si>
    <t>0.0769692557283179</t>
  </si>
  <si>
    <t>0.0880352462740266</t>
  </si>
  <si>
    <t>0.0773761512110897</t>
  </si>
  <si>
    <t>0.061138536131906</t>
  </si>
  <si>
    <t>0.914323126630932</t>
  </si>
  <si>
    <t>0.0643415894951461</t>
  </si>
  <si>
    <t>0.000343668775850787</t>
  </si>
  <si>
    <t>0.935191529723804</t>
  </si>
  <si>
    <t>0.000106431673571059</t>
  </si>
  <si>
    <t>0.0851975628086604</t>
  </si>
  <si>
    <t>0.000436698892301907</t>
  </si>
  <si>
    <t>0.898469315172347</t>
  </si>
  <si>
    <t>0.00150135208890063</t>
  </si>
  <si>
    <t>0.0937292348294965</t>
  </si>
  <si>
    <t>0.00630009790925619</t>
  </si>
  <si>
    <t>0.00408593534781807</t>
  </si>
  <si>
    <t>0.00405377196310066</t>
  </si>
  <si>
    <t>0.000240845978008017</t>
  </si>
  <si>
    <t>0.0447910172070104</t>
  </si>
  <si>
    <t>0.056192667198686</t>
  </si>
  <si>
    <t>0.0477228390888694</t>
  </si>
  <si>
    <t>0.0384712991485205</t>
  </si>
  <si>
    <t>0.890176253790292</t>
  </si>
  <si>
    <t>0.00134499066843152</t>
  </si>
  <si>
    <t>0.0860802300297043</t>
  </si>
  <si>
    <t>0.00584519813623285</t>
  </si>
  <si>
    <t>0.906202132874587</t>
  </si>
  <si>
    <t>0.00167586074730982</t>
  </si>
  <si>
    <t>0.101982078516886</t>
  </si>
  <si>
    <t>0.00679015824039584</t>
  </si>
  <si>
    <t>0.640980758173374</t>
  </si>
  <si>
    <t>0.0523365422659104</t>
  </si>
  <si>
    <t>0.0959603317822499</t>
  </si>
  <si>
    <t>0.210722367778466</t>
  </si>
  <si>
    <t>0.579623452565039</t>
  </si>
  <si>
    <t>0.00182334219096306</t>
  </si>
  <si>
    <t>0.000780131300140552</t>
  </si>
  <si>
    <t>0.00107870951208679</t>
  </si>
  <si>
    <t>0.00156193837507469</t>
  </si>
  <si>
    <t>0.00792328838812939</t>
  </si>
  <si>
    <t>0.0157292690772722</t>
  </si>
  <si>
    <t>0.0124344127771944</t>
  </si>
  <si>
    <t>0.00939125130749197</t>
  </si>
  <si>
    <t>0.637399304098904</t>
  </si>
  <si>
    <t>0.0508284455887331</t>
  </si>
  <si>
    <t>0.0938668181247685</t>
  </si>
  <si>
    <t>0.207677324404707</t>
  </si>
  <si>
    <t>0.644546564771979</t>
  </si>
  <si>
    <t>0.0538868443401805</t>
  </si>
  <si>
    <t>0.0980954824070584</t>
  </si>
  <si>
    <t>0.213800011045542</t>
  </si>
  <si>
    <t>0.564094092685181</t>
  </si>
  <si>
    <t>0.595152812444897</t>
  </si>
  <si>
    <t>0.116339422679962</t>
  </si>
  <si>
    <t>0.175558752749365</t>
  </si>
  <si>
    <t>0.0228365159974501</t>
  </si>
  <si>
    <t>0.685265308573222</t>
  </si>
  <si>
    <t>0.778076040566615</t>
  </si>
  <si>
    <t>0.00176166626546659</t>
  </si>
  <si>
    <t>0.00313481518823767</t>
  </si>
  <si>
    <t>0.000628553213666959</t>
  </si>
  <si>
    <t>0.00354594749817827</t>
  </si>
  <si>
    <t>0.0171360710195825</t>
  </si>
  <si>
    <t>0.0216585682436938</t>
  </si>
  <si>
    <t>0.0281672841185134</t>
  </si>
  <si>
    <t>0.0164410268809264</t>
  </si>
  <si>
    <t>0.11293086218926</t>
  </si>
  <si>
    <t>0.16949899604393</t>
  </si>
  <si>
    <t>0.021636491003899</t>
  </si>
  <si>
    <t>0.678274247794604</t>
  </si>
  <si>
    <t>0.119836964461982</t>
  </si>
  <si>
    <t>0.181787731082344</t>
  </si>
  <si>
    <t>0.0241014583975407</t>
  </si>
  <si>
    <t>0.692173399208034</t>
  </si>
  <si>
    <t>0.745852220011145</t>
  </si>
  <si>
    <t>0.810299861122086</t>
  </si>
  <si>
    <t>0.780985655161901</t>
  </si>
  <si>
    <t>0.0199433286037852</t>
  </si>
  <si>
    <t>0.177419979948978</t>
  </si>
  <si>
    <t>0.0216510362853364</t>
  </si>
  <si>
    <t>0.0113429902434191</t>
  </si>
  <si>
    <t>0.00154093452574161</t>
  </si>
  <si>
    <t>0.0112340662247782</t>
  </si>
  <si>
    <t>0.00118652747549158</t>
  </si>
  <si>
    <t>0.066315025454185</t>
  </si>
  <si>
    <t>0.0788379551865631</t>
  </si>
  <si>
    <t>0.076976169757664</t>
  </si>
  <si>
    <t>0.0560151266306211</t>
  </si>
  <si>
    <t>0.757944750686468</t>
  </si>
  <si>
    <t>0.0171369091024469</t>
  </si>
  <si>
    <t>0.156461364552135</t>
  </si>
  <si>
    <t>0.0194436279590098</t>
  </si>
  <si>
    <t>0.802405099589976</t>
  </si>
  <si>
    <t>0.0231984925997989</t>
  </si>
  <si>
    <t>0.20051871232779</t>
  </si>
  <si>
    <t>0.0241028885865727</t>
  </si>
  <si>
    <t>0.746519139769691</t>
  </si>
  <si>
    <t>0.0379675920246231</t>
  </si>
  <si>
    <t>0.149954042257066</t>
  </si>
  <si>
    <t>0.0655592259486198</t>
  </si>
  <si>
    <t>0.00683396060031949</t>
  </si>
  <si>
    <t>0.00186531077305405</t>
  </si>
  <si>
    <t>0.00628446462270371</t>
  </si>
  <si>
    <t>0.00221936702812952</t>
  </si>
  <si>
    <t>0.0361148945721264</t>
  </si>
  <si>
    <t>0.0510679520446187</t>
  </si>
  <si>
    <t>0.0493023592505306</t>
  </si>
  <si>
    <t>0.0362279310016067</t>
  </si>
  <si>
    <t>0.732892737013581</t>
  </si>
  <si>
    <t>0.0344760332461478</t>
  </si>
  <si>
    <t>0.13804868201477</t>
  </si>
  <si>
    <t>0.0613412337189583</t>
  </si>
  <si>
    <t>0.759678339943439</t>
  </si>
  <si>
    <t>0.041797450630489</t>
  </si>
  <si>
    <t>0.16269233179222</t>
  </si>
  <si>
    <t>0.070045615207351</t>
  </si>
  <si>
    <t>0.678238159082918</t>
  </si>
  <si>
    <t>0.0574641430483567</t>
  </si>
  <si>
    <t>0.124369133233384</t>
  </si>
  <si>
    <t>0.139928564635341</t>
  </si>
  <si>
    <t>0.745686845938341</t>
  </si>
  <si>
    <t>0.00429429191672587</t>
  </si>
  <si>
    <t>0.00168808252584531</t>
  </si>
  <si>
    <t>0.00323036021547838</t>
  </si>
  <si>
    <t>0.00264606205484338</t>
  </si>
  <si>
    <t>0.0196777212903744</t>
  </si>
  <si>
    <t>0.0311672768474139</t>
  </si>
  <si>
    <t>0.0296631510247513</t>
  </si>
  <si>
    <t>0.0219866529629018</t>
  </si>
  <si>
    <t>0.669764300751831</t>
  </si>
  <si>
    <t>0.0542436240291971</t>
  </si>
  <si>
    <t>0.11817476516271</t>
  </si>
  <si>
    <t>0.134822398676577</t>
  </si>
  <si>
    <t>0.686596324677025</t>
  </si>
  <si>
    <t>0.060863563751687</t>
  </si>
  <si>
    <t>0.130840015946597</t>
  </si>
  <si>
    <t>0.145195663234435</t>
  </si>
  <si>
    <t>0.70711922091139</t>
  </si>
  <si>
    <t>0.784254470965292</t>
  </si>
  <si>
    <t>0.479618073019906</t>
  </si>
  <si>
    <t>0.0873723796430126</t>
  </si>
  <si>
    <t>0.0767088835930944</t>
  </si>
  <si>
    <t>0.356300663743987</t>
  </si>
  <si>
    <t>-0.0815729109713588</t>
  </si>
  <si>
    <t>-0.591456812429715</t>
  </si>
  <si>
    <t>0.00153661733392828</t>
  </si>
  <si>
    <t>0.000904995598608382</t>
  </si>
  <si>
    <t>0.000830493830914872</t>
  </si>
  <si>
    <t>0.00147801131246792</t>
  </si>
  <si>
    <t>0.00615669987334422</t>
  </si>
  <si>
    <t>0.0113495513592462</t>
  </si>
  <si>
    <t>0.0117260594495747</t>
  </si>
  <si>
    <t>0.00644433435973726</t>
  </si>
  <si>
    <t>0.476607135453293</t>
  </si>
  <si>
    <t>0.0856148255436523</t>
  </si>
  <si>
    <t>0.0750968985095217</t>
  </si>
  <si>
    <t>0.353409101481834</t>
  </si>
  <si>
    <t>0.482630491994285</t>
  </si>
  <si>
    <t>0.0891624956924879</t>
  </si>
  <si>
    <t>0.0783525393067096</t>
  </si>
  <si>
    <t>0.359202741426696</t>
  </si>
  <si>
    <t>-0.0936398209867358</t>
  </si>
  <si>
    <t>-0.604087475679134</t>
  </si>
  <si>
    <t>-0.0695060009559818</t>
  </si>
  <si>
    <t>-0.578826149180296</t>
  </si>
  <si>
    <t>0.31301783328418</t>
  </si>
  <si>
    <t>0.0949927175222204</t>
  </si>
  <si>
    <t>0.0457017005053963</t>
  </si>
  <si>
    <t>0.546287748688204</t>
  </si>
  <si>
    <t>-0.786048169418359</t>
  </si>
  <si>
    <t>0.185682659755098</t>
  </si>
  <si>
    <t>0.00338223935566044</t>
  </si>
  <si>
    <t>0.00197087350259949</t>
  </si>
  <si>
    <t>0.00113219547808379</t>
  </si>
  <si>
    <t>0.00381459511439472</t>
  </si>
  <si>
    <t>0.01572859009398</t>
  </si>
  <si>
    <t>0.0229253705862384</t>
  </si>
  <si>
    <t>0.0259600130305649</t>
  </si>
  <si>
    <t>0.0153902785725839</t>
  </si>
  <si>
    <t>0.306427277086316</t>
  </si>
  <si>
    <t>0.0911995433680489</t>
  </si>
  <si>
    <t>0.0435332301604427</t>
  </si>
  <si>
    <t>0.538801394526191</t>
  </si>
  <si>
    <t>0.319684802287153</t>
  </si>
  <si>
    <t>0.0989264840641959</t>
  </si>
  <si>
    <t>0.0479727687002472</t>
  </si>
  <si>
    <t>0.553753228058297</t>
  </si>
  <si>
    <t>-0.816875639530153</t>
  </si>
  <si>
    <t>0.155518268040795</t>
  </si>
  <si>
    <t>-0.755220699306564</t>
  </si>
  <si>
    <t>0.215847051469401</t>
  </si>
  <si>
    <t>0.937060061156683</t>
  </si>
  <si>
    <t>0.0629308303317818</t>
  </si>
  <si>
    <t>0.00525765575878267</t>
  </si>
  <si>
    <t>0.00525755830731075</t>
  </si>
  <si>
    <t>0.0891452901742584</t>
  </si>
  <si>
    <t>0.160618925825162</t>
  </si>
  <si>
    <t>0.0891556737447904</t>
  </si>
  <si>
    <t>0.105359382518219</t>
  </si>
  <si>
    <t>0.925933899275527</t>
  </si>
  <si>
    <t>0.05337993855898</t>
  </si>
  <si>
    <t>0.946611228033002</t>
  </si>
  <si>
    <t>0.074056904847568</t>
  </si>
  <si>
    <t>0.918982288654458</t>
  </si>
  <si>
    <t>0.0808709684120189</t>
  </si>
  <si>
    <t>0.000120957209897386</t>
  </si>
  <si>
    <t>0.00474675146060789</t>
  </si>
  <si>
    <t>0.00474579047853591</t>
  </si>
  <si>
    <t>0.0637542851549475</t>
  </si>
  <si>
    <t>0.117438017221648</t>
  </si>
  <si>
    <t>0.063846843766156</t>
  </si>
  <si>
    <t>0.0766286371844045</t>
  </si>
  <si>
    <t>0.909178298094152</t>
  </si>
  <si>
    <t>0.0720438760002989</t>
  </si>
  <si>
    <t>0.000104090878052546</t>
  </si>
  <si>
    <t>0.927811990905139</t>
  </si>
  <si>
    <t>0.0906739100004982</t>
  </si>
  <si>
    <t>0.000140556088211486</t>
  </si>
  <si>
    <t>0.895888245043907</t>
  </si>
  <si>
    <t>0.000389502234369448</t>
  </si>
  <si>
    <t>0.102041196704802</t>
  </si>
  <si>
    <t>0.0016810560169225</t>
  </si>
  <si>
    <t>0.00366207184142778</t>
  </si>
  <si>
    <t>0.00365469710663908</t>
  </si>
  <si>
    <t>0.0392620755538186</t>
  </si>
  <si>
    <t>0.0766797719254359</t>
  </si>
  <si>
    <t>0.0398859034539835</t>
  </si>
  <si>
    <t>0.0494660978839095</t>
  </si>
  <si>
    <t>0.888488951372007</t>
  </si>
  <si>
    <t>0.000335168826166653</t>
  </si>
  <si>
    <t>0.0950976736191728</t>
  </si>
  <si>
    <t>0.00152596309609735</t>
  </si>
  <si>
    <t>0.902850244960983</t>
  </si>
  <si>
    <t>0.00045263951191429</t>
  </si>
  <si>
    <t>0.10943038941292</t>
  </si>
  <si>
    <t>0.0018518827397188</t>
  </si>
  <si>
    <t>0.799422305197561</t>
  </si>
  <si>
    <t>0.0146506488280763</t>
  </si>
  <si>
    <t>0.12949363257151</t>
  </si>
  <si>
    <t>0.0564334134028533</t>
  </si>
  <si>
    <t>0.00139109348524854</t>
  </si>
  <si>
    <t>0.000366097780120292</t>
  </si>
  <si>
    <t>0.00117555498221213</t>
  </si>
  <si>
    <t>0.000784096649797934</t>
  </si>
  <si>
    <t>0.00867555803551529</t>
  </si>
  <si>
    <t>0.0253600439568465</t>
  </si>
  <si>
    <t>0.0104285176463148</t>
  </si>
  <si>
    <t>0.0147251838331767</t>
  </si>
  <si>
    <t>0.796681925969874</t>
  </si>
  <si>
    <t>0.0139501534525189</t>
  </si>
  <si>
    <t>0.12720698348189</t>
  </si>
  <si>
    <t>0.0549161411881988</t>
  </si>
  <si>
    <t>0.802134922192357</t>
  </si>
  <si>
    <t>0.0153857701496306</t>
  </si>
  <si>
    <t>0.131815178175324</t>
  </si>
  <si>
    <t>0.0579900339386198</t>
  </si>
  <si>
    <t>0.386626610748132</t>
  </si>
  <si>
    <t>0.117217026621306</t>
  </si>
  <si>
    <t>0.0815599085490283</t>
  </si>
  <si>
    <t>0.414596454081534</t>
  </si>
  <si>
    <t>-0.461514471191814</t>
  </si>
  <si>
    <t>-0.344995784157048</t>
  </si>
  <si>
    <t>0.00395690662136869</t>
  </si>
  <si>
    <t>0.00304939823866212</t>
  </si>
  <si>
    <t>0.00161180244203144</t>
  </si>
  <si>
    <t>0.00464724582109443</t>
  </si>
  <si>
    <t>0.0166854962861397</t>
  </si>
  <si>
    <t>0.0294692780382748</t>
  </si>
  <si>
    <t>0.0215171251640371</t>
  </si>
  <si>
    <t>0.0191476161856521</t>
  </si>
  <si>
    <t>0.378900550345595</t>
  </si>
  <si>
    <t>0.111371186981969</t>
  </si>
  <si>
    <t>0.0784560666598982</t>
  </si>
  <si>
    <t>0.405518181683562</t>
  </si>
  <si>
    <t>0.394410170217943</t>
  </si>
  <si>
    <t>0.123327127353326</t>
  </si>
  <si>
    <t>0.0847752471407821</t>
  </si>
  <si>
    <t>0.423733099876149</t>
  </si>
  <si>
    <t>-0.494217442976825</t>
  </si>
  <si>
    <t>-0.382524422270722</t>
  </si>
  <si>
    <t>-0.428811499406804</t>
  </si>
  <si>
    <t>-0.307467146043373</t>
  </si>
  <si>
    <t>0.751540831774435</t>
  </si>
  <si>
    <t>0.00166953116299708</t>
  </si>
  <si>
    <t>0.245368846663457</t>
  </si>
  <si>
    <t>0.00142079039911036</t>
  </si>
  <si>
    <t>0.0117586236571743</t>
  </si>
  <si>
    <t>0.000180068825853966</t>
  </si>
  <si>
    <t>0.0117654919504609</t>
  </si>
  <si>
    <t>0.000104178221358747</t>
  </si>
  <si>
    <t>0.0629722023925101</t>
  </si>
  <si>
    <t>0.108036293732784</t>
  </si>
  <si>
    <t>0.0635412770980431</t>
  </si>
  <si>
    <t>0.0734284574550009</t>
  </si>
  <si>
    <t>0.72778703937457</t>
  </si>
  <si>
    <t>0.00135136372642338</t>
  </si>
  <si>
    <t>0.223045651233367</t>
  </si>
  <si>
    <t>0.00123058130739953</t>
  </si>
  <si>
    <t>0.773865874527464</t>
  </si>
  <si>
    <t>0.00206245378940741</t>
  </si>
  <si>
    <t>0.269152260917935</t>
  </si>
  <si>
    <t>0.00164035153617958</t>
  </si>
  <si>
    <t>0.983423773638804</t>
  </si>
  <si>
    <t>-0.998927901597796</t>
  </si>
  <si>
    <t>0.783846715377782</t>
  </si>
  <si>
    <t>0.00481080088198138</t>
  </si>
  <si>
    <t>0.20438748352676</t>
  </si>
  <si>
    <t>0.00695500021347667</t>
  </si>
  <si>
    <t>0.00667202226299291</t>
  </si>
  <si>
    <t>0.000344189251201674</t>
  </si>
  <si>
    <t>0.00666463635213354</t>
  </si>
  <si>
    <t>0.0003360666608184</t>
  </si>
  <si>
    <t>0.0393789837893356</t>
  </si>
  <si>
    <t>0.0718909574508935</t>
  </si>
  <si>
    <t>0.0409845861742651</t>
  </si>
  <si>
    <t>0.0486585714174679</t>
  </si>
  <si>
    <t>0.770483671640685</t>
  </si>
  <si>
    <t>0.00418117520124958</t>
  </si>
  <si>
    <t>0.191634720784082</t>
  </si>
  <si>
    <t>0.00632635761137869</t>
  </si>
  <si>
    <t>0.796637082705219</t>
  </si>
  <si>
    <t>0.0055347122954728</t>
  </si>
  <si>
    <t>0.217760292140776</t>
  </si>
  <si>
    <t>0.00764562963651391</t>
  </si>
  <si>
    <t>0.792602293001917</t>
  </si>
  <si>
    <t>0.0103267404108553</t>
  </si>
  <si>
    <t>0.174964452178807</t>
  </si>
  <si>
    <t>0.02210651440842</t>
  </si>
  <si>
    <t>0.00363544670348802</t>
  </si>
  <si>
    <t>0.000470144190440683</t>
  </si>
  <si>
    <t>0.00356208935500647</t>
  </si>
  <si>
    <t>0.00066518706083509</t>
  </si>
  <si>
    <t>0.0221155888432123</t>
  </si>
  <si>
    <t>0.0460019220603681</t>
  </si>
  <si>
    <t>0.0246764298655898</t>
  </si>
  <si>
    <t>0.0307703168363823</t>
  </si>
  <si>
    <t>0.785386560509662</t>
  </si>
  <si>
    <t>0.0094448093336679</t>
  </si>
  <si>
    <t>0.168092257947352</t>
  </si>
  <si>
    <t>0.0208396676470293</t>
  </si>
  <si>
    <t>0.799637310555109</t>
  </si>
  <si>
    <t>0.0112900852267524</t>
  </si>
  <si>
    <t>0.18205611995677</t>
  </si>
  <si>
    <t>0.0234485287416445</t>
  </si>
  <si>
    <t>0.731160593227092</t>
  </si>
  <si>
    <t>0.0294647836778582</t>
  </si>
  <si>
    <t>0.125722870480948</t>
  </si>
  <si>
    <t>0.113651752614102</t>
  </si>
  <si>
    <t>0.00135256931478708</t>
  </si>
  <si>
    <t>0.000542671830715361</t>
  </si>
  <si>
    <t>0.000984671070619465</t>
  </si>
  <si>
    <t>0.00102623780657606</t>
  </si>
  <si>
    <t>0.00688103593040071</t>
  </si>
  <si>
    <t>0.0189767887489877</t>
  </si>
  <si>
    <t>0.0089583447724147</t>
  </si>
  <si>
    <t>0.0101874967310877</t>
  </si>
  <si>
    <t>0.728501356041727</t>
  </si>
  <si>
    <t>0.0284195790540053</t>
  </si>
  <si>
    <t>0.12380559938276</t>
  </si>
  <si>
    <t>0.11165582688433</t>
  </si>
  <si>
    <t>0.733803301495805</t>
  </si>
  <si>
    <t>0.0305472198584568</t>
  </si>
  <si>
    <t>0.12766550657874</t>
  </si>
  <si>
    <t>0.115678710903838</t>
  </si>
  <si>
    <t>0.987032342317074</t>
  </si>
  <si>
    <t>0.581487058671193</t>
  </si>
  <si>
    <t>0.0497453202000793</t>
  </si>
  <si>
    <t>0.0846472607403524</t>
  </si>
  <si>
    <t>0.284120360388375</t>
  </si>
  <si>
    <t>0.328880904052641</t>
  </si>
  <si>
    <t>-0.924114099162991</t>
  </si>
  <si>
    <t>0.00395475348717204</t>
  </si>
  <si>
    <t>0.00151741333040534</t>
  </si>
  <si>
    <t>0.00161400316604641</t>
  </si>
  <si>
    <t>0.00398505966828022</t>
  </si>
  <si>
    <t>0.0162506400975467</t>
  </si>
  <si>
    <t>0.0321004889260671</t>
  </si>
  <si>
    <t>0.020830657979116</t>
  </si>
  <si>
    <t>0.0195926175372122</t>
  </si>
  <si>
    <t>0.573716373009174</t>
  </si>
  <si>
    <t>0.0468541012160948</t>
  </si>
  <si>
    <t>0.0815370468994818</t>
  </si>
  <si>
    <t>0.276374947866678</t>
  </si>
  <si>
    <t>0.589217515798939</t>
  </si>
  <si>
    <t>0.0528050632493674</t>
  </si>
  <si>
    <t>0.0878647634973789</t>
  </si>
  <si>
    <t>0.291995248608864</t>
  </si>
  <si>
    <t>0.297030234735727</t>
  </si>
  <si>
    <t>-0.962514923898795</t>
  </si>
  <si>
    <t>0.360731573369555</t>
  </si>
  <si>
    <t>-0.885713274427188</t>
  </si>
  <si>
    <t>0.982275463351249</t>
  </si>
  <si>
    <t>0.0177111567178787</t>
  </si>
  <si>
    <t>0.00131227597794027</t>
  </si>
  <si>
    <t>0.00131189864790204</t>
  </si>
  <si>
    <t>0.0753732066842804</t>
  </si>
  <si>
    <t>0.123434310232775</t>
  </si>
  <si>
    <t>0.0754074312996127</t>
  </si>
  <si>
    <t>0.1389971992196</t>
  </si>
  <si>
    <t>0.979511557301384</t>
  </si>
  <si>
    <t>0.015315038673269</t>
  </si>
  <si>
    <t>0.984672350933201</t>
  </si>
  <si>
    <t>0.0204743650688355</t>
  </si>
  <si>
    <t>0.950891101297801</t>
  </si>
  <si>
    <t>0.0489321484779553</t>
  </si>
  <si>
    <t>0.000162264294944515</t>
  </si>
  <si>
    <t>0.00251420392813258</t>
  </si>
  <si>
    <t>0.00251085167843125</t>
  </si>
  <si>
    <t>0.0538405543133862</t>
  </si>
  <si>
    <t>0.0894648579406646</t>
  </si>
  <si>
    <t>0.0539529595008724</t>
  </si>
  <si>
    <t>0.100659616144464</t>
  </si>
  <si>
    <t>0.945722209209744</t>
  </si>
  <si>
    <t>0.0442391893107013</t>
  </si>
  <si>
    <t>0.000133215256139338</t>
  </si>
  <si>
    <t>0.955590872407374</t>
  </si>
  <si>
    <t>0.0540947669022775</t>
  </si>
  <si>
    <t>0.000197646541179241</t>
  </si>
  <si>
    <t>0.875296223299287</t>
  </si>
  <si>
    <t>0.000443935370280907</t>
  </si>
  <si>
    <t>0.122545883389505</t>
  </si>
  <si>
    <t>0.00171395794092713</t>
  </si>
  <si>
    <t>0.00363385640970957</t>
  </si>
  <si>
    <t>0.00361176703984512</t>
  </si>
  <si>
    <t>0.000110273582692303</t>
  </si>
  <si>
    <t>0.0332914799084885</t>
  </si>
  <si>
    <t>0.0573261304378194</t>
  </si>
  <si>
    <t>0.033588962363857</t>
  </si>
  <si>
    <t>0.0644490210867449</t>
  </si>
  <si>
    <t>0.867997861741904</t>
  </si>
  <si>
    <t>0.000396774860860448</t>
  </si>
  <si>
    <t>0.11564102255764</t>
  </si>
  <si>
    <t>0.00151087798533197</t>
  </si>
  <si>
    <t>0.882245803338249</t>
  </si>
  <si>
    <t>0.000496698574618581</t>
  </si>
  <si>
    <t>0.129802516077037</t>
  </si>
  <si>
    <t>0.00194428110373254</t>
  </si>
  <si>
    <t>0.600779332815885</t>
  </si>
  <si>
    <t>0.0364898423143039</t>
  </si>
  <si>
    <t>0.329821288919758</t>
  </si>
  <si>
    <t>0.0329095359500526</t>
  </si>
  <si>
    <t>0.408713385816811</t>
  </si>
  <si>
    <t>-0.708993450731641</t>
  </si>
  <si>
    <t>0.00184645997869512</t>
  </si>
  <si>
    <t>0.000620086607304724</t>
  </si>
  <si>
    <t>0.00176743488811404</t>
  </si>
  <si>
    <t>0.000624459836238749</t>
  </si>
  <si>
    <t>0.0076986025384771</t>
  </si>
  <si>
    <t>0.0176369737031512</t>
  </si>
  <si>
    <t>0.00799602440552864</t>
  </si>
  <si>
    <t>0.0196207521328903</t>
  </si>
  <si>
    <t>0.59715489499606</t>
  </si>
  <si>
    <t>0.0352937779866587</t>
  </si>
  <si>
    <t>0.326366465014141</t>
  </si>
  <si>
    <t>0.0317073593085731</t>
  </si>
  <si>
    <t>0.604392764522425</t>
  </si>
  <si>
    <t>0.0377248547935106</t>
  </si>
  <si>
    <t>0.333294589944284</t>
  </si>
  <si>
    <t>0.0341556850167581</t>
  </si>
  <si>
    <t>0.393624402110107</t>
  </si>
  <si>
    <t>-0.724665370585981</t>
  </si>
  <si>
    <t>0.423802369523514</t>
  </si>
  <si>
    <t>-0.693321530877302</t>
  </si>
  <si>
    <t>0.185362184700965</t>
  </si>
  <si>
    <t>0.407565461367696</t>
  </si>
  <si>
    <t>0.283563194832269</t>
  </si>
  <si>
    <t>0.12350915909907</t>
  </si>
  <si>
    <t>-0.374038822411959</t>
  </si>
  <si>
    <t>-0.926855036242787</t>
  </si>
  <si>
    <t>0.00259497124711852</t>
  </si>
  <si>
    <t>0.00499343907965723</t>
  </si>
  <si>
    <t>0.00350594507745836</t>
  </si>
  <si>
    <t>0.00291825087253619</t>
  </si>
  <si>
    <t>0.0171848934831683</t>
  </si>
  <si>
    <t>0.020680546585105</t>
  </si>
  <si>
    <t>0.0172574792155193</t>
  </si>
  <si>
    <t>0.0269572804587866</t>
  </si>
  <si>
    <t>0.180329939761424</t>
  </si>
  <si>
    <t>0.397816361906124</t>
  </si>
  <si>
    <t>0.276742253556098</t>
  </si>
  <si>
    <t>0.117902327872487</t>
  </si>
  <si>
    <t>0.19050222080135</t>
  </si>
  <si>
    <t>0.417387878626914</t>
  </si>
  <si>
    <t>0.290484731995966</t>
  </si>
  <si>
    <t>0.129343525774634</t>
  </si>
  <si>
    <t>-0.414571948899368</t>
  </si>
  <si>
    <t>-0.960679073969153</t>
  </si>
  <si>
    <t>-0.333505695924551</t>
  </si>
  <si>
    <t>-0.89303099851642</t>
  </si>
  <si>
    <t>0.375507089048379</t>
  </si>
  <si>
    <t>0.00244851153507517</t>
  </si>
  <si>
    <t>0.621497650229176</t>
  </si>
  <si>
    <t>0.000546749187369428</t>
  </si>
  <si>
    <t>-0.508662627959497</t>
  </si>
  <si>
    <t>0.495909849166414</t>
  </si>
  <si>
    <t>0.0125153664996705</t>
  </si>
  <si>
    <t>0.000189019786868367</t>
  </si>
  <si>
    <t>0.0125301138280834</t>
  </si>
  <si>
    <t>0.053370088006114</t>
  </si>
  <si>
    <t>0.077387317673236</t>
  </si>
  <si>
    <t>0.0532656149534437</t>
  </si>
  <si>
    <t>0.100547948167494</t>
  </si>
  <si>
    <t>0.35131452178325</t>
  </si>
  <si>
    <t>0.00210464876371614</t>
  </si>
  <si>
    <t>0.596646427851061</t>
  </si>
  <si>
    <t>0.000448997633165367</t>
  </si>
  <si>
    <t>0.40033747070862</t>
  </si>
  <si>
    <t>0.00284839510116785</t>
  </si>
  <si>
    <t>0.645726891248028</t>
  </si>
  <si>
    <t>0.000665768118343527</t>
  </si>
  <si>
    <t>-0.613266078303214</t>
  </si>
  <si>
    <t>0.391511162243286</t>
  </si>
  <si>
    <t>-0.40405917761578</t>
  </si>
  <si>
    <t>0.600308536089542</t>
  </si>
  <si>
    <t>0.443018625612635</t>
  </si>
  <si>
    <t>0.00897192489543788</t>
  </si>
  <si>
    <t>0.545036778453735</t>
  </si>
  <si>
    <t>0.00297267103819213</t>
  </si>
  <si>
    <t>-0.228919986773646</t>
  </si>
  <si>
    <t>0.180636691870255</t>
  </si>
  <si>
    <t>0.00844202375053212</t>
  </si>
  <si>
    <t>0.000457159184924606</t>
  </si>
  <si>
    <t>0.00845473958354799</t>
  </si>
  <si>
    <t>0.000197569781876282</t>
  </si>
  <si>
    <t>0.0342124292038175</t>
  </si>
  <si>
    <t>0.0514157129657353</t>
  </si>
  <si>
    <t>0.0340955841843954</t>
  </si>
  <si>
    <t>0.066660198987283</t>
  </si>
  <si>
    <t>0.426541693138434</t>
  </si>
  <si>
    <t>0.00811884363080638</t>
  </si>
  <si>
    <t>0.528421971542893</t>
  </si>
  <si>
    <t>0.00260953866146213</t>
  </si>
  <si>
    <t>0.459621906717843</t>
  </si>
  <si>
    <t>0.00991374710843601</t>
  </si>
  <si>
    <t>0.561551913486642</t>
  </si>
  <si>
    <t>0.00338616382529244</t>
  </si>
  <si>
    <t>-0.295975115836754</t>
  </si>
  <si>
    <t>0.113810574836986</t>
  </si>
  <si>
    <t>-0.161864857710537</t>
  </si>
  <si>
    <t>0.247462808903523</t>
  </si>
  <si>
    <t>0.486546993674006</t>
  </si>
  <si>
    <t>0.022812135422348</t>
  </si>
  <si>
    <t>0.480516413001346</t>
  </si>
  <si>
    <t>0.0101244579023</t>
  </si>
  <si>
    <t>-0.05382501639016</t>
  </si>
  <si>
    <t>-0.0779738301990195</t>
  </si>
  <si>
    <t>0.0050531764408032</t>
  </si>
  <si>
    <t>0.00073108878084387</t>
  </si>
  <si>
    <t>0.00503986633769048</t>
  </si>
  <si>
    <t>0.000424199869774467</t>
  </si>
  <si>
    <t>0.0202273490191243</t>
  </si>
  <si>
    <t>0.0327963953705098</t>
  </si>
  <si>
    <t>0.0201901228540186</t>
  </si>
  <si>
    <t>0.0423270652938487</t>
  </si>
  <si>
    <t>0.476649524886192</t>
  </si>
  <si>
    <t>0.0214223362800952</t>
  </si>
  <si>
    <t>0.470647353391707</t>
  </si>
  <si>
    <t>0.00932595055752132</t>
  </si>
  <si>
    <t>0.496455024198225</t>
  </si>
  <si>
    <t>0.024289861375229</t>
  </si>
  <si>
    <t>0.490400700510249</t>
  </si>
  <si>
    <t>0.0109905766140243</t>
  </si>
  <si>
    <t>-0.0934698919703653</t>
  </si>
  <si>
    <t>-0.117545743836335</t>
  </si>
  <si>
    <t>-0.0141801408099547</t>
  </si>
  <si>
    <t>-0.0384019165617041</t>
  </si>
  <si>
    <t>0.502735199124505</t>
  </si>
  <si>
    <t>0.0830322289851909</t>
  </si>
  <si>
    <t>0.357101883453244</t>
  </si>
  <si>
    <t>0.0571306884370601</t>
  </si>
  <si>
    <t>0.0109409056353612</t>
  </si>
  <si>
    <t>-0.587965132634007</t>
  </si>
  <si>
    <t>0.00156985547450581</t>
  </si>
  <si>
    <t>0.000959597338284169</t>
  </si>
  <si>
    <t>0.00150069686808821</t>
  </si>
  <si>
    <t>0.000777110615079342</t>
  </si>
  <si>
    <t>0.00627960981696089</t>
  </si>
  <si>
    <t>0.0126034158596346</t>
  </si>
  <si>
    <t>0.00653670193183978</t>
  </si>
  <si>
    <t>0.0144265300034139</t>
  </si>
  <si>
    <t>0.499658274192496</t>
  </si>
  <si>
    <t>0.0811707210228874</t>
  </si>
  <si>
    <t>0.354165986743374</t>
  </si>
  <si>
    <t>0.0556265156007361</t>
  </si>
  <si>
    <t>0.505811916901002</t>
  </si>
  <si>
    <t>0.0849324812523238</t>
  </si>
  <si>
    <t>0.360048549622812</t>
  </si>
  <si>
    <t>0.0586730079510591</t>
  </si>
  <si>
    <t>-0.00136690344284627</t>
  </si>
  <si>
    <t>-0.600776832998086</t>
  </si>
  <si>
    <t>0.0232487147135687</t>
  </si>
  <si>
    <t>-0.575153432269927</t>
  </si>
  <si>
    <t>0.433841146335301</t>
  </si>
  <si>
    <t>0.165888257656448</t>
  </si>
  <si>
    <t>0.247379208544066</t>
  </si>
  <si>
    <t>0.152891387464185</t>
  </si>
  <si>
    <t>-0.266196254181448</t>
  </si>
  <si>
    <t>0.0038870463829733</t>
  </si>
  <si>
    <t>0.0030892740385328</t>
  </si>
  <si>
    <t>0.00297784172740528</t>
  </si>
  <si>
    <t>0.00342350851669545</t>
  </si>
  <si>
    <t>0.0158252536884888</t>
  </si>
  <si>
    <t>0.0223262896067116</t>
  </si>
  <si>
    <t>0.0159941882679006</t>
  </si>
  <si>
    <t>0.0264331727081196</t>
  </si>
  <si>
    <t>0.426238885065452</t>
  </si>
  <si>
    <t>0.159921578527082</t>
  </si>
  <si>
    <t>0.241589073198943</t>
  </si>
  <si>
    <t>0.146301415638618</t>
  </si>
  <si>
    <t>0.441474669604514</t>
  </si>
  <si>
    <t>0.17203196607821</t>
  </si>
  <si>
    <t>0.253261774365385</t>
  </si>
  <si>
    <t>0.159722659905451</t>
  </si>
  <si>
    <t>-0.297213181457096</t>
  </si>
  <si>
    <t>-0.235179326905801</t>
  </si>
  <si>
    <t>0.00000186032</t>
  </si>
  <si>
    <t>0.0000675084</t>
  </si>
  <si>
    <t>0.000034271090</t>
  </si>
  <si>
    <t>0.00000019078909</t>
  </si>
  <si>
    <t>0.00000494213334</t>
  </si>
  <si>
    <t>0.0000900404001</t>
  </si>
  <si>
    <t>0.00000350062097</t>
  </si>
  <si>
    <t>0.0000365305589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</si>
</sst>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2" fontId="0" fillId="0" borderId="0" xfId="0" applyNumberFormat="1"/>
    <xf numFmtId="3" fontId="0" fillId="0" borderId="0" xfId="0" applyNumberFormat="1"/>
    <xf numFmtId="1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D624-CC2F-4514-8849-F25952C04C1B}">
  <dimension ref="A2:B8"/>
  <sheetViews>
    <sheetView workbookViewId="0">
      <selection activeCell="L20" sqref="L20"/>
    </sheetView>
  </sheetViews>
  <sheetFormatPr defaultRowHeight="15" x14ac:dyDescent="0.25"/>
  <cols>
    <col min="1" max="1" width="22.85546875" customWidth="1"/>
    <col min="2" max="2" width="15.42578125" customWidth="1"/>
  </cols>
  <sheetData>
    <row r="2" spans="1:2" x14ac:dyDescent="0.25">
      <c r="A2" t="s">
        <v>2340</v>
      </c>
      <c r="B2" t="s">
        <v>2342</v>
      </c>
    </row>
    <row r="4" spans="1:2" x14ac:dyDescent="0.25">
      <c r="A4" t="s">
        <v>2341</v>
      </c>
      <c r="B4" t="s">
        <v>2343</v>
      </c>
    </row>
    <row r="5" spans="1:2" x14ac:dyDescent="0.25">
      <c r="A5" t="s">
        <v>2344</v>
      </c>
      <c r="B5" t="s">
        <v>2345</v>
      </c>
    </row>
    <row r="6" spans="1:2" x14ac:dyDescent="0.25">
      <c r="A6" t="s">
        <v>2344</v>
      </c>
      <c r="B6" t="s">
        <v>2346</v>
      </c>
    </row>
    <row r="7" spans="1:2" x14ac:dyDescent="0.25">
      <c r="A7" t="s">
        <v>2566</v>
      </c>
      <c r="B7" t="s">
        <v>2567</v>
      </c>
    </row>
    <row r="8" spans="1:2" x14ac:dyDescent="0.25">
      <c r="A8" t="s">
        <v>2568</v>
      </c>
      <c r="B8" t="s">
        <v>2569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DA5D-BBF4-4285-8FDE-F5845BA59FCD}">
  <dimension ref="A1:I34"/>
  <sheetViews>
    <sheetView topLeftCell="A16" zoomScale="130" zoomScaleNormal="130" workbookViewId="0">
      <selection activeCell="D40" sqref="D40"/>
    </sheetView>
  </sheetViews>
  <sheetFormatPr defaultRowHeight="15" x14ac:dyDescent="0.25"/>
  <cols>
    <col min="2" max="2" width="13.42578125" customWidth="1"/>
    <col min="3" max="3" width="11" customWidth="1"/>
    <col min="4" max="4" width="12.7109375" customWidth="1"/>
  </cols>
  <sheetData>
    <row r="1" spans="1:9" x14ac:dyDescent="0.25">
      <c r="A1" s="6" t="s">
        <v>120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t="s">
        <v>11</v>
      </c>
      <c r="F2" t="s">
        <v>2579</v>
      </c>
    </row>
    <row r="3" spans="1:9" x14ac:dyDescent="0.25">
      <c r="B3" t="s">
        <v>4</v>
      </c>
      <c r="C3" t="s">
        <v>5</v>
      </c>
      <c r="D3" t="s">
        <v>6</v>
      </c>
      <c r="F3" t="s">
        <v>12</v>
      </c>
      <c r="G3" t="s">
        <v>4</v>
      </c>
      <c r="H3" t="s">
        <v>5</v>
      </c>
      <c r="I3" t="s">
        <v>6</v>
      </c>
    </row>
    <row r="4" spans="1:9" x14ac:dyDescent="0.25">
      <c r="A4" t="s">
        <v>7</v>
      </c>
      <c r="B4">
        <v>143266</v>
      </c>
      <c r="C4">
        <v>99088</v>
      </c>
      <c r="D4">
        <v>61982</v>
      </c>
      <c r="F4" t="s">
        <v>13</v>
      </c>
      <c r="G4">
        <v>0.62398517993892</v>
      </c>
      <c r="H4">
        <v>0.459781533796706</v>
      </c>
      <c r="I4">
        <v>0.27439266948622898</v>
      </c>
    </row>
    <row r="5" spans="1:9" x14ac:dyDescent="0.25">
      <c r="A5" t="s">
        <v>8</v>
      </c>
      <c r="B5">
        <v>24249</v>
      </c>
      <c r="C5">
        <v>53324</v>
      </c>
      <c r="D5">
        <v>86578</v>
      </c>
      <c r="F5" t="s">
        <v>14</v>
      </c>
      <c r="G5">
        <v>8.9866744560642406E-2</v>
      </c>
      <c r="H5">
        <v>0.20868741288589299</v>
      </c>
      <c r="I5">
        <v>0.348385324831402</v>
      </c>
    </row>
    <row r="6" spans="1:9" x14ac:dyDescent="0.25">
      <c r="A6" t="s">
        <v>9</v>
      </c>
      <c r="B6">
        <v>30044</v>
      </c>
      <c r="C6">
        <v>49478</v>
      </c>
      <c r="D6">
        <v>71919</v>
      </c>
      <c r="F6" t="s">
        <v>15</v>
      </c>
      <c r="G6">
        <v>0.127357662621948</v>
      </c>
      <c r="H6">
        <v>0.22289416023629499</v>
      </c>
      <c r="I6">
        <v>0.32805543051467601</v>
      </c>
    </row>
    <row r="7" spans="1:9" x14ac:dyDescent="0.25">
      <c r="A7" t="s">
        <v>10</v>
      </c>
      <c r="B7">
        <v>41116</v>
      </c>
      <c r="C7">
        <v>27351</v>
      </c>
      <c r="D7">
        <v>12851</v>
      </c>
      <c r="F7" t="s">
        <v>16</v>
      </c>
      <c r="G7">
        <v>0.158790412878489</v>
      </c>
      <c r="H7">
        <v>0.108636893081105</v>
      </c>
      <c r="I7">
        <v>4.9166575167692302E-2</v>
      </c>
    </row>
    <row r="8" spans="1:9" x14ac:dyDescent="0.25">
      <c r="A8" t="s">
        <v>3</v>
      </c>
      <c r="B8">
        <v>238675</v>
      </c>
      <c r="C8">
        <v>229241</v>
      </c>
      <c r="D8">
        <v>233330</v>
      </c>
    </row>
    <row r="10" spans="1:9" x14ac:dyDescent="0.25">
      <c r="A10" t="s">
        <v>197</v>
      </c>
      <c r="F10" t="s">
        <v>198</v>
      </c>
    </row>
    <row r="11" spans="1:9" x14ac:dyDescent="0.25">
      <c r="B11" t="s">
        <v>4</v>
      </c>
      <c r="C11" t="s">
        <v>5</v>
      </c>
      <c r="D11" t="s">
        <v>6</v>
      </c>
      <c r="G11" t="s">
        <v>4</v>
      </c>
      <c r="H11" t="s">
        <v>5</v>
      </c>
      <c r="I11" t="s">
        <v>6</v>
      </c>
    </row>
    <row r="12" spans="1:9" x14ac:dyDescent="0.25">
      <c r="A12" t="s">
        <v>7</v>
      </c>
      <c r="B12">
        <f>B4/B$8</f>
        <v>0.60025557766837745</v>
      </c>
      <c r="C12">
        <f t="shared" ref="C12:D12" si="0">C4/C$8</f>
        <v>0.43224379583058875</v>
      </c>
      <c r="D12">
        <f t="shared" si="0"/>
        <v>0.26564093772768183</v>
      </c>
      <c r="F12" t="s">
        <v>7</v>
      </c>
      <c r="G12">
        <f>G4-B12</f>
        <v>2.3729602270542549E-2</v>
      </c>
      <c r="H12">
        <f t="shared" ref="H12:I12" si="1">H4-C12</f>
        <v>2.7537737966117248E-2</v>
      </c>
      <c r="I12">
        <f t="shared" si="1"/>
        <v>8.7517317585471543E-3</v>
      </c>
    </row>
    <row r="13" spans="1:9" x14ac:dyDescent="0.25">
      <c r="A13" t="s">
        <v>8</v>
      </c>
      <c r="B13">
        <f t="shared" ref="B13:D13" si="2">B5/B$8</f>
        <v>0.10159840787681994</v>
      </c>
      <c r="C13">
        <f t="shared" si="2"/>
        <v>0.23261109487395362</v>
      </c>
      <c r="D13">
        <f t="shared" si="2"/>
        <v>0.37105387219817426</v>
      </c>
      <c r="F13" t="s">
        <v>8</v>
      </c>
      <c r="G13">
        <f t="shared" ref="G13:G15" si="3">G5-B13</f>
        <v>-1.1731663316177532E-2</v>
      </c>
      <c r="H13">
        <f t="shared" ref="H13:H15" si="4">H5-C13</f>
        <v>-2.3923681988060636E-2</v>
      </c>
      <c r="I13">
        <f t="shared" ref="I13:I15" si="5">I5-D13</f>
        <v>-2.2668547366772263E-2</v>
      </c>
    </row>
    <row r="14" spans="1:9" x14ac:dyDescent="0.25">
      <c r="A14" t="s">
        <v>9</v>
      </c>
      <c r="B14">
        <f t="shared" ref="B14:D14" si="6">B6/B$8</f>
        <v>0.12587828637268253</v>
      </c>
      <c r="C14">
        <f t="shared" si="6"/>
        <v>0.2158339913017305</v>
      </c>
      <c r="D14">
        <f t="shared" si="6"/>
        <v>0.30822868898127115</v>
      </c>
      <c r="F14" t="s">
        <v>9</v>
      </c>
      <c r="G14">
        <f t="shared" si="3"/>
        <v>1.4793762492654738E-3</v>
      </c>
      <c r="H14">
        <f t="shared" si="4"/>
        <v>7.0601689345644869E-3</v>
      </c>
      <c r="I14">
        <f t="shared" si="5"/>
        <v>1.9826741533404857E-2</v>
      </c>
    </row>
    <row r="15" spans="1:9" x14ac:dyDescent="0.25">
      <c r="A15" t="s">
        <v>10</v>
      </c>
      <c r="B15">
        <f t="shared" ref="B15:D15" si="7">B7/B$8</f>
        <v>0.17226772808212004</v>
      </c>
      <c r="C15">
        <f t="shared" si="7"/>
        <v>0.11931111799372712</v>
      </c>
      <c r="D15">
        <f t="shared" si="7"/>
        <v>5.5076501092872758E-2</v>
      </c>
      <c r="F15" t="s">
        <v>10</v>
      </c>
      <c r="G15">
        <f t="shared" si="3"/>
        <v>-1.3477315203631046E-2</v>
      </c>
      <c r="H15">
        <f t="shared" si="4"/>
        <v>-1.0674224912622127E-2</v>
      </c>
      <c r="I15">
        <f t="shared" si="5"/>
        <v>-5.9099259251804565E-3</v>
      </c>
    </row>
    <row r="16" spans="1:9" x14ac:dyDescent="0.25">
      <c r="A16" t="s">
        <v>3</v>
      </c>
      <c r="B16">
        <f t="shared" ref="B16:D16" si="8">B8/B$8</f>
        <v>1</v>
      </c>
      <c r="C16">
        <f t="shared" si="8"/>
        <v>1</v>
      </c>
      <c r="D16">
        <f t="shared" si="8"/>
        <v>1</v>
      </c>
    </row>
    <row r="19" spans="1:9" x14ac:dyDescent="0.25">
      <c r="A19" s="6" t="s">
        <v>196</v>
      </c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t="s">
        <v>11</v>
      </c>
      <c r="F20" t="s">
        <v>2579</v>
      </c>
    </row>
    <row r="21" spans="1:9" x14ac:dyDescent="0.25">
      <c r="B21" t="s">
        <v>4</v>
      </c>
      <c r="C21" t="s">
        <v>5</v>
      </c>
      <c r="D21" t="s">
        <v>6</v>
      </c>
      <c r="F21" t="s">
        <v>12</v>
      </c>
      <c r="G21" t="s">
        <v>4</v>
      </c>
      <c r="H21" t="s">
        <v>5</v>
      </c>
      <c r="I21" t="s">
        <v>6</v>
      </c>
    </row>
    <row r="22" spans="1:9" x14ac:dyDescent="0.25">
      <c r="A22" t="s">
        <v>7</v>
      </c>
      <c r="B22">
        <v>29231</v>
      </c>
      <c r="C22">
        <v>19574</v>
      </c>
      <c r="D22">
        <v>11879</v>
      </c>
      <c r="F22" t="s">
        <v>13</v>
      </c>
      <c r="G22">
        <v>0.48398122513493402</v>
      </c>
      <c r="H22">
        <v>0.35774078055122299</v>
      </c>
      <c r="I22">
        <v>0.21244166437119499</v>
      </c>
    </row>
    <row r="23" spans="1:9" x14ac:dyDescent="0.25">
      <c r="A23" t="s">
        <v>8</v>
      </c>
      <c r="B23">
        <v>7928</v>
      </c>
      <c r="C23">
        <v>16377</v>
      </c>
      <c r="D23">
        <v>24816</v>
      </c>
      <c r="F23" t="s">
        <v>14</v>
      </c>
      <c r="G23">
        <v>0.112991356728288</v>
      </c>
      <c r="H23">
        <v>0.25049633177102798</v>
      </c>
      <c r="I23">
        <v>0.38806986639510699</v>
      </c>
    </row>
    <row r="24" spans="1:9" x14ac:dyDescent="0.25">
      <c r="A24" t="s">
        <v>9</v>
      </c>
      <c r="B24">
        <v>5590</v>
      </c>
      <c r="C24">
        <v>10445</v>
      </c>
      <c r="D24">
        <v>15992</v>
      </c>
      <c r="F24" t="s">
        <v>15</v>
      </c>
      <c r="G24">
        <v>0.109888114087915</v>
      </c>
      <c r="H24">
        <v>0.209630100168164</v>
      </c>
      <c r="I24">
        <v>0.31529137752178699</v>
      </c>
    </row>
    <row r="25" spans="1:9" x14ac:dyDescent="0.25">
      <c r="A25" t="s">
        <v>10</v>
      </c>
      <c r="B25">
        <v>16240</v>
      </c>
      <c r="C25">
        <v>9369</v>
      </c>
      <c r="D25">
        <v>4407</v>
      </c>
      <c r="F25" t="s">
        <v>16</v>
      </c>
      <c r="G25">
        <v>0.29313930404886301</v>
      </c>
      <c r="H25">
        <v>0.182132787509585</v>
      </c>
      <c r="I25">
        <v>8.4197091711910504E-2</v>
      </c>
    </row>
    <row r="26" spans="1:9" x14ac:dyDescent="0.25">
      <c r="A26" t="s">
        <v>3</v>
      </c>
      <c r="B26">
        <v>58989</v>
      </c>
      <c r="C26">
        <v>55765</v>
      </c>
      <c r="D26">
        <v>57094</v>
      </c>
    </row>
    <row r="28" spans="1:9" x14ac:dyDescent="0.25">
      <c r="A28" t="s">
        <v>197</v>
      </c>
      <c r="F28" t="s">
        <v>198</v>
      </c>
    </row>
    <row r="29" spans="1:9" x14ac:dyDescent="0.25">
      <c r="B29" t="s">
        <v>4</v>
      </c>
      <c r="C29" t="s">
        <v>5</v>
      </c>
      <c r="D29" t="s">
        <v>6</v>
      </c>
      <c r="G29" t="s">
        <v>4</v>
      </c>
      <c r="H29" t="s">
        <v>5</v>
      </c>
      <c r="I29" t="s">
        <v>6</v>
      </c>
    </row>
    <row r="30" spans="1:9" x14ac:dyDescent="0.25">
      <c r="A30" t="s">
        <v>7</v>
      </c>
      <c r="B30">
        <f>B22/B$26</f>
        <v>0.49553306548678566</v>
      </c>
      <c r="C30">
        <f t="shared" ref="C30:D30" si="9">C22/C$26</f>
        <v>0.35100869721151262</v>
      </c>
      <c r="D30">
        <f t="shared" si="9"/>
        <v>0.2080603916348478</v>
      </c>
      <c r="F30" t="s">
        <v>7</v>
      </c>
      <c r="G30" s="1">
        <f>G22-B30</f>
        <v>-1.1551840351851639E-2</v>
      </c>
      <c r="H30" s="1">
        <f t="shared" ref="H30:I30" si="10">H22-C30</f>
        <v>6.7320833397103708E-3</v>
      </c>
      <c r="I30" s="1">
        <f t="shared" si="10"/>
        <v>4.381272736347197E-3</v>
      </c>
    </row>
    <row r="31" spans="1:9" x14ac:dyDescent="0.25">
      <c r="A31" t="s">
        <v>8</v>
      </c>
      <c r="B31">
        <f t="shared" ref="B31:D31" si="11">B23/B$26</f>
        <v>0.13439793859872179</v>
      </c>
      <c r="C31">
        <f t="shared" si="11"/>
        <v>0.2936788308078544</v>
      </c>
      <c r="D31">
        <f t="shared" si="11"/>
        <v>0.43465162714120575</v>
      </c>
      <c r="F31" t="s">
        <v>8</v>
      </c>
      <c r="G31" s="1">
        <f t="shared" ref="G31:G33" si="12">G23-B31</f>
        <v>-2.1406581870433788E-2</v>
      </c>
      <c r="H31" s="1">
        <f t="shared" ref="H31:H33" si="13">H23-C31</f>
        <v>-4.3182499036826416E-2</v>
      </c>
      <c r="I31" s="1">
        <f t="shared" ref="I31:I33" si="14">I23-D31</f>
        <v>-4.6581760746098766E-2</v>
      </c>
    </row>
    <row r="32" spans="1:9" x14ac:dyDescent="0.25">
      <c r="A32" t="s">
        <v>9</v>
      </c>
      <c r="B32">
        <f t="shared" ref="B32:D32" si="15">B24/B$26</f>
        <v>9.4763430470087645E-2</v>
      </c>
      <c r="C32">
        <f t="shared" si="15"/>
        <v>0.18730386443109479</v>
      </c>
      <c r="D32">
        <f t="shared" si="15"/>
        <v>0.28009948505972604</v>
      </c>
      <c r="F32" t="s">
        <v>9</v>
      </c>
      <c r="G32" s="1">
        <f t="shared" si="12"/>
        <v>1.5124683617827359E-2</v>
      </c>
      <c r="H32" s="1">
        <f t="shared" si="13"/>
        <v>2.2326235737069211E-2</v>
      </c>
      <c r="I32" s="1">
        <f t="shared" si="14"/>
        <v>3.5191892462060947E-2</v>
      </c>
    </row>
    <row r="33" spans="1:9" x14ac:dyDescent="0.25">
      <c r="A33" t="s">
        <v>10</v>
      </c>
      <c r="B33">
        <f t="shared" ref="B33:D33" si="16">B25/B$26</f>
        <v>0.27530556544440488</v>
      </c>
      <c r="C33">
        <f t="shared" si="16"/>
        <v>0.16800860754953825</v>
      </c>
      <c r="D33">
        <f t="shared" si="16"/>
        <v>7.718849616422041E-2</v>
      </c>
      <c r="F33" t="s">
        <v>10</v>
      </c>
      <c r="G33" s="1">
        <f t="shared" si="12"/>
        <v>1.7833738604458138E-2</v>
      </c>
      <c r="H33" s="1">
        <f t="shared" si="13"/>
        <v>1.4124179960046751E-2</v>
      </c>
      <c r="I33" s="1">
        <f t="shared" si="14"/>
        <v>7.0085955476900941E-3</v>
      </c>
    </row>
    <row r="34" spans="1:9" x14ac:dyDescent="0.25">
      <c r="A34" t="s">
        <v>3</v>
      </c>
      <c r="B34">
        <f t="shared" ref="B34:D34" si="17">B26/B$26</f>
        <v>1</v>
      </c>
      <c r="C34">
        <f t="shared" si="17"/>
        <v>1</v>
      </c>
      <c r="D34">
        <f t="shared" si="17"/>
        <v>1</v>
      </c>
    </row>
  </sheetData>
  <mergeCells count="2">
    <mergeCell ref="A1:I1"/>
    <mergeCell ref="A19:I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754A-3A73-4511-8ACF-5D5378CF25DF}">
  <dimension ref="A1:I23"/>
  <sheetViews>
    <sheetView zoomScale="150" zoomScaleNormal="150" workbookViewId="0">
      <selection activeCell="D7" sqref="D7"/>
    </sheetView>
  </sheetViews>
  <sheetFormatPr defaultRowHeight="15" x14ac:dyDescent="0.25"/>
  <cols>
    <col min="1" max="1" width="24" customWidth="1"/>
    <col min="2" max="2" width="13.42578125" customWidth="1"/>
    <col min="3" max="3" width="21.85546875" customWidth="1"/>
    <col min="4" max="4" width="20.42578125" customWidth="1"/>
    <col min="5" max="5" width="22.140625" customWidth="1"/>
    <col min="6" max="6" width="14.7109375" customWidth="1"/>
    <col min="7" max="7" width="16.42578125" customWidth="1"/>
    <col min="8" max="8" width="20.5703125" customWidth="1"/>
    <col min="9" max="9" width="22.140625" customWidth="1"/>
  </cols>
  <sheetData>
    <row r="1" spans="1:9" x14ac:dyDescent="0.25">
      <c r="A1" t="s">
        <v>2577</v>
      </c>
    </row>
    <row r="2" spans="1:9" x14ac:dyDescent="0.25">
      <c r="A2" t="s">
        <v>2576</v>
      </c>
    </row>
    <row r="3" spans="1:9" x14ac:dyDescent="0.25">
      <c r="C3" t="s">
        <v>120</v>
      </c>
      <c r="D3" t="s">
        <v>196</v>
      </c>
    </row>
    <row r="4" spans="1:9" x14ac:dyDescent="0.25">
      <c r="A4" t="s">
        <v>2573</v>
      </c>
      <c r="B4" t="s">
        <v>2570</v>
      </c>
      <c r="C4" s="2">
        <v>0.12620000000000001</v>
      </c>
      <c r="D4" s="2">
        <v>0.22844</v>
      </c>
    </row>
    <row r="5" spans="1:9" x14ac:dyDescent="0.25">
      <c r="A5" t="s">
        <v>2574</v>
      </c>
      <c r="B5" t="s">
        <v>2571</v>
      </c>
      <c r="C5" s="2">
        <v>0.27660000000000001</v>
      </c>
      <c r="D5" s="2">
        <v>0.4587</v>
      </c>
    </row>
    <row r="6" spans="1:9" x14ac:dyDescent="0.25">
      <c r="A6" t="s">
        <v>2575</v>
      </c>
      <c r="B6" t="s">
        <v>2572</v>
      </c>
      <c r="C6" s="2">
        <v>0.29959999999999998</v>
      </c>
      <c r="D6" s="2">
        <v>0.49220000000000003</v>
      </c>
    </row>
    <row r="9" spans="1:9" x14ac:dyDescent="0.25">
      <c r="A9" t="s">
        <v>2578</v>
      </c>
    </row>
    <row r="10" spans="1:9" x14ac:dyDescent="0.25">
      <c r="B10" s="6" t="s">
        <v>120</v>
      </c>
      <c r="C10" s="6"/>
      <c r="D10" s="6"/>
      <c r="E10" s="6"/>
      <c r="F10" s="6" t="s">
        <v>196</v>
      </c>
      <c r="G10" s="6"/>
      <c r="H10" s="6"/>
      <c r="I10" s="6"/>
    </row>
    <row r="11" spans="1:9" x14ac:dyDescent="0.25">
      <c r="B11" t="s">
        <v>7</v>
      </c>
      <c r="C11" t="s">
        <v>8</v>
      </c>
      <c r="D11" t="s">
        <v>9</v>
      </c>
      <c r="E11" t="s">
        <v>10</v>
      </c>
      <c r="F11" t="s">
        <v>7</v>
      </c>
      <c r="G11" t="s">
        <v>8</v>
      </c>
      <c r="H11" t="s">
        <v>9</v>
      </c>
      <c r="I11" t="s">
        <v>10</v>
      </c>
    </row>
    <row r="12" spans="1:9" x14ac:dyDescent="0.25">
      <c r="A12" t="s">
        <v>7</v>
      </c>
      <c r="B12">
        <v>241617</v>
      </c>
      <c r="C12">
        <v>42443</v>
      </c>
      <c r="D12">
        <v>19984</v>
      </c>
      <c r="E12">
        <v>292</v>
      </c>
      <c r="F12">
        <v>44350</v>
      </c>
      <c r="G12">
        <v>6488</v>
      </c>
      <c r="H12">
        <v>5531</v>
      </c>
      <c r="I12">
        <v>4315</v>
      </c>
    </row>
    <row r="13" spans="1:9" x14ac:dyDescent="0.25">
      <c r="A13" t="s">
        <v>8</v>
      </c>
      <c r="B13">
        <v>55814</v>
      </c>
      <c r="C13">
        <v>92002</v>
      </c>
      <c r="D13">
        <v>16081</v>
      </c>
      <c r="E13">
        <v>254</v>
      </c>
      <c r="F13">
        <v>6679</v>
      </c>
      <c r="G13">
        <v>33687</v>
      </c>
      <c r="H13">
        <v>4181</v>
      </c>
      <c r="I13">
        <v>4574</v>
      </c>
    </row>
    <row r="14" spans="1:9" x14ac:dyDescent="0.25">
      <c r="A14" t="s">
        <v>9</v>
      </c>
      <c r="B14">
        <v>75256</v>
      </c>
      <c r="C14">
        <v>44884</v>
      </c>
      <c r="D14">
        <v>31217</v>
      </c>
      <c r="E14">
        <v>84</v>
      </c>
      <c r="F14">
        <v>13188</v>
      </c>
      <c r="G14">
        <v>9028</v>
      </c>
      <c r="H14">
        <v>8780</v>
      </c>
      <c r="I14">
        <v>1031</v>
      </c>
    </row>
    <row r="15" spans="1:9" x14ac:dyDescent="0.25">
      <c r="A15" t="s">
        <v>10</v>
      </c>
      <c r="B15">
        <v>62336</v>
      </c>
      <c r="C15">
        <v>16383</v>
      </c>
      <c r="D15">
        <v>2280</v>
      </c>
      <c r="E15">
        <v>319</v>
      </c>
      <c r="F15">
        <v>10542</v>
      </c>
      <c r="G15">
        <v>8692</v>
      </c>
      <c r="H15">
        <v>1005</v>
      </c>
      <c r="I15">
        <v>9777</v>
      </c>
    </row>
    <row r="16" spans="1:9" x14ac:dyDescent="0.25">
      <c r="B16">
        <f>SUM(B12:E15)</f>
        <v>701246</v>
      </c>
      <c r="F16">
        <f t="shared" ref="F16" si="0">SUM(F12:I15)</f>
        <v>171848</v>
      </c>
    </row>
    <row r="18" spans="1:9" x14ac:dyDescent="0.25">
      <c r="B18" s="6" t="s">
        <v>120</v>
      </c>
      <c r="C18" s="6"/>
      <c r="D18" s="6"/>
      <c r="E18" s="6"/>
      <c r="F18" s="6" t="s">
        <v>196</v>
      </c>
      <c r="G18" s="6"/>
      <c r="H18" s="6"/>
      <c r="I18" s="6"/>
    </row>
    <row r="19" spans="1:9" x14ac:dyDescent="0.25">
      <c r="B19" t="s">
        <v>7</v>
      </c>
      <c r="C19" t="s">
        <v>8</v>
      </c>
      <c r="D19" t="s">
        <v>9</v>
      </c>
      <c r="E19" t="s">
        <v>10</v>
      </c>
      <c r="F19" t="s">
        <v>7</v>
      </c>
      <c r="G19" t="s">
        <v>8</v>
      </c>
      <c r="H19" t="s">
        <v>9</v>
      </c>
      <c r="I19" t="s">
        <v>10</v>
      </c>
    </row>
    <row r="20" spans="1:9" x14ac:dyDescent="0.25">
      <c r="A20" t="s">
        <v>7</v>
      </c>
      <c r="B20">
        <v>0.34455383702723436</v>
      </c>
      <c r="C20">
        <v>6.052512242494075E-2</v>
      </c>
      <c r="D20">
        <v>2.8497845264001505E-2</v>
      </c>
      <c r="E20">
        <v>4.1640166218416931E-4</v>
      </c>
      <c r="F20">
        <v>0.25807690517201248</v>
      </c>
      <c r="G20">
        <v>3.7754294492807594E-2</v>
      </c>
      <c r="H20">
        <v>3.2185419673199572E-2</v>
      </c>
      <c r="I20">
        <v>2.5109399003770773E-2</v>
      </c>
    </row>
    <row r="21" spans="1:9" x14ac:dyDescent="0.25">
      <c r="A21" t="s">
        <v>8</v>
      </c>
      <c r="B21">
        <v>7.9592610866942554E-2</v>
      </c>
      <c r="C21">
        <v>0.13119789631598611</v>
      </c>
      <c r="D21">
        <v>2.2932038115012422E-2</v>
      </c>
      <c r="E21">
        <v>3.6221240477664042E-4</v>
      </c>
      <c r="F21">
        <v>3.8865741818351104E-2</v>
      </c>
      <c r="G21">
        <v>0.19602788510776967</v>
      </c>
      <c r="H21">
        <v>2.4329640147106747E-2</v>
      </c>
      <c r="I21">
        <v>2.6616544853591547E-2</v>
      </c>
    </row>
    <row r="22" spans="1:9" x14ac:dyDescent="0.25">
      <c r="A22" t="s">
        <v>9</v>
      </c>
      <c r="B22">
        <v>0.10731754619634194</v>
      </c>
      <c r="C22">
        <v>6.4006069196829649E-2</v>
      </c>
      <c r="D22">
        <v>4.4516474960284977E-2</v>
      </c>
      <c r="E22">
        <v>1.1978677953243227E-4</v>
      </c>
      <c r="F22">
        <v>7.674223732600903E-2</v>
      </c>
      <c r="G22">
        <v>5.2534798193752619E-2</v>
      </c>
      <c r="H22">
        <v>5.1091662399329642E-2</v>
      </c>
      <c r="I22">
        <v>5.9994879195568174E-3</v>
      </c>
    </row>
    <row r="23" spans="1:9" x14ac:dyDescent="0.25">
      <c r="A23" t="s">
        <v>10</v>
      </c>
      <c r="B23">
        <v>8.8893198677782115E-2</v>
      </c>
      <c r="C23">
        <v>2.3362700108093309E-2</v>
      </c>
      <c r="D23">
        <v>3.2513554444517333E-3</v>
      </c>
      <c r="E23">
        <v>4.5490455560530824E-4</v>
      </c>
      <c r="F23">
        <v>6.1344909454867091E-2</v>
      </c>
      <c r="G23">
        <v>5.0579581956147292E-2</v>
      </c>
      <c r="H23">
        <v>5.8481914249802151E-3</v>
      </c>
      <c r="I23">
        <v>5.6893301056747822E-2</v>
      </c>
    </row>
  </sheetData>
  <mergeCells count="4">
    <mergeCell ref="B10:E10"/>
    <mergeCell ref="F10:I10"/>
    <mergeCell ref="B18:E18"/>
    <mergeCell ref="F18:I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BB94-6B75-4D09-A8A6-5F501EC648DC}">
  <dimension ref="A2:AG73"/>
  <sheetViews>
    <sheetView topLeftCell="A49" workbookViewId="0">
      <selection activeCell="J80" sqref="J80"/>
    </sheetView>
  </sheetViews>
  <sheetFormatPr defaultRowHeight="15" x14ac:dyDescent="0.25"/>
  <cols>
    <col min="1" max="1" width="12.140625" customWidth="1"/>
  </cols>
  <sheetData>
    <row r="2" spans="1:33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Z2" t="s">
        <v>37</v>
      </c>
      <c r="AA2" t="s">
        <v>38</v>
      </c>
      <c r="AB2" t="s">
        <v>39</v>
      </c>
      <c r="AC2" t="s">
        <v>40</v>
      </c>
      <c r="AD2" t="s">
        <v>41</v>
      </c>
      <c r="AE2" t="s">
        <v>42</v>
      </c>
      <c r="AF2" t="s">
        <v>43</v>
      </c>
      <c r="AG2" t="s">
        <v>44</v>
      </c>
    </row>
    <row r="3" spans="1:33" x14ac:dyDescent="0.25">
      <c r="A3" t="s">
        <v>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s="3">
        <v>-231526306619675</v>
      </c>
      <c r="H3" s="3">
        <v>-192452640876818</v>
      </c>
      <c r="I3" s="3">
        <v>-166725566603328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  <c r="AA3" s="3">
        <v>-233048413132705</v>
      </c>
      <c r="AB3" s="3">
        <v>-193818987662607</v>
      </c>
      <c r="AC3" s="3">
        <v>-168053740943628</v>
      </c>
      <c r="AD3" t="s">
        <v>67</v>
      </c>
      <c r="AE3" s="3">
        <v>-230004200106646</v>
      </c>
      <c r="AF3" s="3">
        <v>-19108629409103</v>
      </c>
      <c r="AG3" s="3">
        <v>-165397392263027</v>
      </c>
    </row>
    <row r="4" spans="1:33" x14ac:dyDescent="0.25">
      <c r="A4" t="s">
        <v>5</v>
      </c>
      <c r="B4" t="s">
        <v>68</v>
      </c>
      <c r="C4" t="s">
        <v>69</v>
      </c>
      <c r="D4" t="s">
        <v>70</v>
      </c>
      <c r="E4" t="s">
        <v>71</v>
      </c>
      <c r="F4" t="s">
        <v>72</v>
      </c>
      <c r="G4" s="3">
        <v>-133285556910287</v>
      </c>
      <c r="H4" s="3">
        <v>-124887951598422</v>
      </c>
      <c r="I4" s="3">
        <v>-210474080675495</v>
      </c>
      <c r="J4" t="s">
        <v>73</v>
      </c>
      <c r="K4" t="s">
        <v>74</v>
      </c>
      <c r="L4" t="s">
        <v>75</v>
      </c>
      <c r="M4" t="s">
        <v>76</v>
      </c>
      <c r="N4" t="s">
        <v>77</v>
      </c>
      <c r="O4" t="s">
        <v>78</v>
      </c>
      <c r="P4" t="s">
        <v>79</v>
      </c>
      <c r="Q4" t="s">
        <v>80</v>
      </c>
      <c r="R4" t="s">
        <v>81</v>
      </c>
      <c r="S4" t="s">
        <v>82</v>
      </c>
      <c r="T4" t="s">
        <v>83</v>
      </c>
      <c r="U4" t="s">
        <v>84</v>
      </c>
      <c r="V4" t="s">
        <v>85</v>
      </c>
      <c r="W4" t="s">
        <v>86</v>
      </c>
      <c r="X4" t="s">
        <v>87</v>
      </c>
      <c r="Y4" t="s">
        <v>88</v>
      </c>
      <c r="Z4" t="s">
        <v>89</v>
      </c>
      <c r="AA4" s="3">
        <v>-134370169508456</v>
      </c>
      <c r="AB4" s="3">
        <v>-125935308708875</v>
      </c>
      <c r="AC4" s="3">
        <v>-21186495030875</v>
      </c>
      <c r="AD4" t="s">
        <v>90</v>
      </c>
      <c r="AE4" s="3">
        <v>-132200944312118</v>
      </c>
      <c r="AF4" s="3">
        <v>-123840594487968</v>
      </c>
      <c r="AG4" s="3">
        <v>-20908321104224</v>
      </c>
    </row>
    <row r="5" spans="1:33" x14ac:dyDescent="0.25">
      <c r="A5" t="s">
        <v>6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s="3">
        <v>-296212486318447</v>
      </c>
      <c r="J5" t="s">
        <v>98</v>
      </c>
      <c r="K5" t="s">
        <v>99</v>
      </c>
      <c r="L5" t="s">
        <v>100</v>
      </c>
      <c r="M5" t="s">
        <v>101</v>
      </c>
      <c r="N5" t="s">
        <v>102</v>
      </c>
      <c r="O5" t="s">
        <v>103</v>
      </c>
      <c r="P5" t="s">
        <v>104</v>
      </c>
      <c r="Q5" t="s">
        <v>105</v>
      </c>
      <c r="R5" t="s">
        <v>106</v>
      </c>
      <c r="S5" t="s">
        <v>107</v>
      </c>
      <c r="T5" t="s">
        <v>108</v>
      </c>
      <c r="U5" t="s">
        <v>109</v>
      </c>
      <c r="V5" t="s">
        <v>110</v>
      </c>
      <c r="W5" t="s">
        <v>111</v>
      </c>
      <c r="X5" t="s">
        <v>112</v>
      </c>
      <c r="Y5" t="s">
        <v>113</v>
      </c>
      <c r="Z5" t="s">
        <v>114</v>
      </c>
      <c r="AA5" t="s">
        <v>115</v>
      </c>
      <c r="AB5" t="s">
        <v>116</v>
      </c>
      <c r="AC5" s="3">
        <v>-298254988808606</v>
      </c>
      <c r="AD5" t="s">
        <v>117</v>
      </c>
      <c r="AE5" t="s">
        <v>118</v>
      </c>
      <c r="AF5" t="s">
        <v>119</v>
      </c>
      <c r="AG5" s="3">
        <v>-294169983828288</v>
      </c>
    </row>
    <row r="8" spans="1:33" x14ac:dyDescent="0.25">
      <c r="A8" t="s">
        <v>199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  <c r="M8" t="s">
        <v>24</v>
      </c>
      <c r="N8" t="s">
        <v>25</v>
      </c>
      <c r="O8" t="s">
        <v>26</v>
      </c>
      <c r="P8" t="s">
        <v>27</v>
      </c>
      <c r="Q8" t="s">
        <v>28</v>
      </c>
      <c r="R8" t="s">
        <v>29</v>
      </c>
      <c r="S8" t="s">
        <v>30</v>
      </c>
      <c r="T8" t="s">
        <v>31</v>
      </c>
      <c r="U8" t="s">
        <v>32</v>
      </c>
      <c r="V8" t="s">
        <v>33</v>
      </c>
      <c r="W8" t="s">
        <v>34</v>
      </c>
      <c r="X8" t="s">
        <v>35</v>
      </c>
      <c r="Y8" t="s">
        <v>36</v>
      </c>
      <c r="Z8" t="s">
        <v>37</v>
      </c>
      <c r="AA8" t="s">
        <v>38</v>
      </c>
      <c r="AB8" t="s">
        <v>39</v>
      </c>
      <c r="AC8" t="s">
        <v>40</v>
      </c>
      <c r="AD8" t="s">
        <v>41</v>
      </c>
      <c r="AE8" t="s">
        <v>42</v>
      </c>
      <c r="AF8" t="s">
        <v>43</v>
      </c>
      <c r="AG8" t="s">
        <v>44</v>
      </c>
    </row>
    <row r="9" spans="1:33" x14ac:dyDescent="0.25">
      <c r="A9" t="s">
        <v>200</v>
      </c>
      <c r="B9" t="s">
        <v>201</v>
      </c>
      <c r="C9" t="s">
        <v>202</v>
      </c>
      <c r="D9" t="s">
        <v>203</v>
      </c>
      <c r="E9" t="s">
        <v>204</v>
      </c>
      <c r="F9" t="s">
        <v>205</v>
      </c>
      <c r="G9" s="3">
        <v>-130257178716973</v>
      </c>
      <c r="H9" s="3">
        <v>-121635425197423</v>
      </c>
      <c r="I9" s="3">
        <v>-214925867969106</v>
      </c>
      <c r="J9" t="s">
        <v>206</v>
      </c>
      <c r="K9" t="s">
        <v>207</v>
      </c>
      <c r="L9" t="s">
        <v>208</v>
      </c>
      <c r="M9" t="s">
        <v>209</v>
      </c>
      <c r="N9" t="s">
        <v>210</v>
      </c>
      <c r="O9" t="s">
        <v>211</v>
      </c>
      <c r="P9" t="s">
        <v>212</v>
      </c>
      <c r="Q9" t="s">
        <v>213</v>
      </c>
      <c r="R9" t="s">
        <v>214</v>
      </c>
      <c r="S9" t="s">
        <v>215</v>
      </c>
      <c r="T9" t="s">
        <v>216</v>
      </c>
      <c r="U9" t="s">
        <v>217</v>
      </c>
      <c r="V9" t="s">
        <v>218</v>
      </c>
      <c r="W9" t="s">
        <v>219</v>
      </c>
      <c r="X9" t="s">
        <v>220</v>
      </c>
      <c r="Y9" t="s">
        <v>221</v>
      </c>
      <c r="Z9" t="s">
        <v>222</v>
      </c>
      <c r="AA9" s="3">
        <v>-131410600562107</v>
      </c>
      <c r="AB9" s="3">
        <v>-122756461339895</v>
      </c>
      <c r="AC9" s="3">
        <v>-216419585176039</v>
      </c>
      <c r="AD9" t="s">
        <v>223</v>
      </c>
      <c r="AE9" s="3">
        <v>-129103756871839</v>
      </c>
      <c r="AF9" s="3">
        <v>-120514389054951</v>
      </c>
      <c r="AG9" s="3">
        <v>-213432150762173</v>
      </c>
    </row>
    <row r="10" spans="1:33" x14ac:dyDescent="0.25">
      <c r="A10" t="s">
        <v>224</v>
      </c>
      <c r="B10" t="s">
        <v>225</v>
      </c>
      <c r="C10" t="s">
        <v>226</v>
      </c>
      <c r="D10" t="s">
        <v>227</v>
      </c>
      <c r="E10" t="s">
        <v>228</v>
      </c>
      <c r="F10" t="s">
        <v>229</v>
      </c>
      <c r="G10" s="3">
        <v>-140661148670431</v>
      </c>
      <c r="H10" s="3">
        <v>-122356827993585</v>
      </c>
      <c r="I10" s="3">
        <v>-216802744195322</v>
      </c>
      <c r="J10" t="s">
        <v>230</v>
      </c>
      <c r="K10" t="s">
        <v>231</v>
      </c>
      <c r="L10" t="s">
        <v>232</v>
      </c>
      <c r="M10" t="s">
        <v>233</v>
      </c>
      <c r="N10" t="s">
        <v>234</v>
      </c>
      <c r="O10" t="s">
        <v>235</v>
      </c>
      <c r="P10" t="s">
        <v>236</v>
      </c>
      <c r="Q10" t="s">
        <v>237</v>
      </c>
      <c r="R10" t="s">
        <v>238</v>
      </c>
      <c r="S10" t="s">
        <v>239</v>
      </c>
      <c r="T10" t="s">
        <v>240</v>
      </c>
      <c r="U10" t="s">
        <v>241</v>
      </c>
      <c r="V10" t="s">
        <v>242</v>
      </c>
      <c r="W10" t="s">
        <v>243</v>
      </c>
      <c r="X10" t="s">
        <v>244</v>
      </c>
      <c r="Y10" t="s">
        <v>245</v>
      </c>
      <c r="Z10" t="s">
        <v>246</v>
      </c>
      <c r="AA10" s="3">
        <v>-141508327444318</v>
      </c>
      <c r="AB10" s="3">
        <v>-123133959345578</v>
      </c>
      <c r="AC10" s="3">
        <v>-217886639451611</v>
      </c>
      <c r="AD10" t="s">
        <v>247</v>
      </c>
      <c r="AE10" s="3">
        <v>-139813969896544</v>
      </c>
      <c r="AF10" s="3">
        <v>-121579696641591</v>
      </c>
      <c r="AG10" s="3">
        <v>-215718848939033</v>
      </c>
    </row>
    <row r="13" spans="1:33" x14ac:dyDescent="0.25">
      <c r="A13" t="s">
        <v>248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  <c r="M13" t="s">
        <v>24</v>
      </c>
      <c r="N13" t="s">
        <v>25</v>
      </c>
      <c r="O13" t="s">
        <v>26</v>
      </c>
      <c r="P13" t="s">
        <v>27</v>
      </c>
      <c r="Q13" t="s">
        <v>28</v>
      </c>
      <c r="R13" t="s">
        <v>29</v>
      </c>
      <c r="S13" t="s">
        <v>30</v>
      </c>
      <c r="T13" t="s">
        <v>31</v>
      </c>
      <c r="U13" t="s">
        <v>32</v>
      </c>
      <c r="V13" t="s">
        <v>33</v>
      </c>
      <c r="W13" t="s">
        <v>34</v>
      </c>
      <c r="X13" t="s">
        <v>35</v>
      </c>
      <c r="Y13" t="s">
        <v>36</v>
      </c>
      <c r="Z13" t="s">
        <v>37</v>
      </c>
      <c r="AA13" t="s">
        <v>38</v>
      </c>
      <c r="AB13" t="s">
        <v>39</v>
      </c>
      <c r="AC13" t="s">
        <v>40</v>
      </c>
      <c r="AD13" t="s">
        <v>41</v>
      </c>
      <c r="AE13" t="s">
        <v>42</v>
      </c>
      <c r="AF13" t="s">
        <v>43</v>
      </c>
      <c r="AG13" t="s">
        <v>44</v>
      </c>
    </row>
    <row r="14" spans="1:33" x14ac:dyDescent="0.25">
      <c r="A14" t="s">
        <v>249</v>
      </c>
      <c r="B14" t="s">
        <v>250</v>
      </c>
      <c r="C14" t="s">
        <v>251</v>
      </c>
      <c r="D14" t="s">
        <v>252</v>
      </c>
      <c r="E14" t="s">
        <v>253</v>
      </c>
      <c r="F14" t="s">
        <v>254</v>
      </c>
      <c r="G14" s="3">
        <v>-232414775020575</v>
      </c>
      <c r="H14" s="3">
        <v>-103441089637555</v>
      </c>
      <c r="I14" s="3">
        <v>-289282956533936</v>
      </c>
      <c r="J14" t="s">
        <v>255</v>
      </c>
      <c r="K14" t="s">
        <v>256</v>
      </c>
      <c r="L14" t="s">
        <v>257</v>
      </c>
      <c r="M14" t="s">
        <v>258</v>
      </c>
      <c r="N14" t="s">
        <v>259</v>
      </c>
      <c r="O14" t="s">
        <v>260</v>
      </c>
      <c r="P14" t="s">
        <v>261</v>
      </c>
      <c r="Q14" t="s">
        <v>262</v>
      </c>
      <c r="R14" t="s">
        <v>263</v>
      </c>
      <c r="S14" t="s">
        <v>264</v>
      </c>
      <c r="T14" t="s">
        <v>265</v>
      </c>
      <c r="U14" t="s">
        <v>266</v>
      </c>
      <c r="V14" t="s">
        <v>267</v>
      </c>
      <c r="W14" t="s">
        <v>268</v>
      </c>
      <c r="X14" t="s">
        <v>269</v>
      </c>
      <c r="Y14" t="s">
        <v>270</v>
      </c>
      <c r="Z14" t="s">
        <v>271</v>
      </c>
      <c r="AA14" s="3">
        <v>-233777199842942</v>
      </c>
      <c r="AB14" s="3">
        <v>-104395020172859</v>
      </c>
      <c r="AC14" s="3">
        <v>-291043476886311</v>
      </c>
      <c r="AD14" t="s">
        <v>272</v>
      </c>
      <c r="AE14" s="3">
        <v>-231052350198207</v>
      </c>
      <c r="AF14" s="3">
        <v>-102487159102251</v>
      </c>
      <c r="AG14" s="3">
        <v>-28752243618156</v>
      </c>
    </row>
    <row r="15" spans="1:33" x14ac:dyDescent="0.25">
      <c r="A15" t="s">
        <v>273</v>
      </c>
      <c r="B15" t="s">
        <v>274</v>
      </c>
      <c r="C15" t="s">
        <v>275</v>
      </c>
      <c r="D15" t="s">
        <v>276</v>
      </c>
      <c r="E15" t="s">
        <v>277</v>
      </c>
      <c r="F15" t="s">
        <v>278</v>
      </c>
      <c r="G15" t="s">
        <v>279</v>
      </c>
      <c r="H15" s="3">
        <v>-146883254491054</v>
      </c>
      <c r="I15" s="3">
        <v>-177974096291108</v>
      </c>
      <c r="J15" t="s">
        <v>280</v>
      </c>
      <c r="K15" t="s">
        <v>281</v>
      </c>
      <c r="L15" t="s">
        <v>282</v>
      </c>
      <c r="M15" t="s">
        <v>283</v>
      </c>
      <c r="N15" t="s">
        <v>284</v>
      </c>
      <c r="O15" t="s">
        <v>285</v>
      </c>
      <c r="P15" t="s">
        <v>286</v>
      </c>
      <c r="Q15" t="s">
        <v>287</v>
      </c>
      <c r="R15" t="s">
        <v>288</v>
      </c>
      <c r="S15" t="s">
        <v>289</v>
      </c>
      <c r="T15" t="s">
        <v>290</v>
      </c>
      <c r="U15" t="s">
        <v>291</v>
      </c>
      <c r="V15" t="s">
        <v>292</v>
      </c>
      <c r="W15" t="s">
        <v>293</v>
      </c>
      <c r="X15" t="s">
        <v>294</v>
      </c>
      <c r="Y15" t="s">
        <v>295</v>
      </c>
      <c r="Z15" t="s">
        <v>296</v>
      </c>
      <c r="AA15" t="s">
        <v>297</v>
      </c>
      <c r="AB15" s="3">
        <v>-14775183986382</v>
      </c>
      <c r="AC15" s="3">
        <v>-178968749034212</v>
      </c>
      <c r="AD15" t="s">
        <v>298</v>
      </c>
      <c r="AE15" t="s">
        <v>299</v>
      </c>
      <c r="AF15" s="3">
        <v>-146014669118287</v>
      </c>
      <c r="AG15" s="3">
        <v>-176979443548004</v>
      </c>
    </row>
    <row r="18" spans="1:33" x14ac:dyDescent="0.25">
      <c r="A18" t="s">
        <v>300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  <c r="L18" t="s">
        <v>23</v>
      </c>
      <c r="M18" t="s">
        <v>24</v>
      </c>
      <c r="N18" t="s">
        <v>25</v>
      </c>
      <c r="O18" t="s">
        <v>26</v>
      </c>
      <c r="P18" t="s">
        <v>27</v>
      </c>
      <c r="Q18" t="s">
        <v>28</v>
      </c>
      <c r="R18" t="s">
        <v>29</v>
      </c>
      <c r="S18" t="s">
        <v>30</v>
      </c>
      <c r="T18" t="s">
        <v>31</v>
      </c>
      <c r="U18" t="s">
        <v>32</v>
      </c>
      <c r="V18" t="s">
        <v>33</v>
      </c>
      <c r="W18" t="s">
        <v>34</v>
      </c>
      <c r="X18" t="s">
        <v>35</v>
      </c>
      <c r="Y18" t="s">
        <v>36</v>
      </c>
      <c r="Z18" t="s">
        <v>37</v>
      </c>
      <c r="AA18" t="s">
        <v>38</v>
      </c>
      <c r="AB18" t="s">
        <v>39</v>
      </c>
      <c r="AC18" t="s">
        <v>40</v>
      </c>
      <c r="AD18" t="s">
        <v>41</v>
      </c>
      <c r="AE18" t="s">
        <v>42</v>
      </c>
      <c r="AF18" t="s">
        <v>43</v>
      </c>
      <c r="AG18" t="s">
        <v>44</v>
      </c>
    </row>
    <row r="19" spans="1:33" x14ac:dyDescent="0.25">
      <c r="A19">
        <v>1</v>
      </c>
      <c r="B19" t="s">
        <v>301</v>
      </c>
      <c r="C19" t="s">
        <v>302</v>
      </c>
      <c r="D19" t="s">
        <v>303</v>
      </c>
      <c r="E19" t="s">
        <v>304</v>
      </c>
      <c r="F19" t="s">
        <v>305</v>
      </c>
      <c r="G19" s="3">
        <v>-134401336293315</v>
      </c>
      <c r="H19" s="3">
        <v>-109095754301888</v>
      </c>
      <c r="I19" s="3">
        <v>-191720704946797</v>
      </c>
      <c r="J19" t="s">
        <v>306</v>
      </c>
      <c r="K19" t="s">
        <v>307</v>
      </c>
      <c r="L19" t="s">
        <v>308</v>
      </c>
      <c r="M19" t="s">
        <v>309</v>
      </c>
      <c r="N19" t="s">
        <v>310</v>
      </c>
      <c r="O19" t="s">
        <v>311</v>
      </c>
      <c r="P19" t="s">
        <v>312</v>
      </c>
      <c r="Q19" t="s">
        <v>313</v>
      </c>
      <c r="R19" t="s">
        <v>314</v>
      </c>
      <c r="S19" t="s">
        <v>315</v>
      </c>
      <c r="T19" t="s">
        <v>316</v>
      </c>
      <c r="U19" t="s">
        <v>317</v>
      </c>
      <c r="V19" t="s">
        <v>318</v>
      </c>
      <c r="W19" t="s">
        <v>319</v>
      </c>
      <c r="X19" t="s">
        <v>320</v>
      </c>
      <c r="Y19" t="s">
        <v>321</v>
      </c>
      <c r="Z19" t="s">
        <v>322</v>
      </c>
      <c r="AA19" s="3">
        <v>-136199002451728</v>
      </c>
      <c r="AB19" s="3">
        <v>-110832744621267</v>
      </c>
      <c r="AC19" s="3">
        <v>-19398943709619</v>
      </c>
      <c r="AD19" t="s">
        <v>323</v>
      </c>
      <c r="AE19" s="3">
        <v>-132603670134902</v>
      </c>
      <c r="AF19" s="3">
        <v>-107358763982508</v>
      </c>
      <c r="AG19" s="3">
        <v>-189451972797404</v>
      </c>
    </row>
    <row r="20" spans="1:33" x14ac:dyDescent="0.25">
      <c r="A20" s="4">
        <v>6</v>
      </c>
      <c r="B20" t="s">
        <v>324</v>
      </c>
      <c r="C20" t="s">
        <v>325</v>
      </c>
      <c r="D20" t="s">
        <v>326</v>
      </c>
      <c r="E20" t="s">
        <v>327</v>
      </c>
      <c r="F20" t="s">
        <v>328</v>
      </c>
      <c r="G20" s="3">
        <v>-138270267354965</v>
      </c>
      <c r="H20" s="3">
        <v>-125048473835918</v>
      </c>
      <c r="I20" s="3">
        <v>-221508771432901</v>
      </c>
      <c r="J20" t="s">
        <v>329</v>
      </c>
      <c r="K20" t="s">
        <v>330</v>
      </c>
      <c r="L20" t="s">
        <v>331</v>
      </c>
      <c r="M20" t="s">
        <v>332</v>
      </c>
      <c r="N20" t="s">
        <v>333</v>
      </c>
      <c r="O20" t="s">
        <v>334</v>
      </c>
      <c r="P20" t="s">
        <v>335</v>
      </c>
      <c r="Q20" t="s">
        <v>336</v>
      </c>
      <c r="R20" t="s">
        <v>337</v>
      </c>
      <c r="S20" t="s">
        <v>338</v>
      </c>
      <c r="T20" t="s">
        <v>339</v>
      </c>
      <c r="U20" t="s">
        <v>340</v>
      </c>
      <c r="V20" t="s">
        <v>341</v>
      </c>
      <c r="W20" t="s">
        <v>342</v>
      </c>
      <c r="X20" t="s">
        <v>343</v>
      </c>
      <c r="Y20" t="s">
        <v>344</v>
      </c>
      <c r="Z20" t="s">
        <v>345</v>
      </c>
      <c r="AA20" s="3">
        <v>-139083854421062</v>
      </c>
      <c r="AB20" s="3">
        <v>-125800068157013</v>
      </c>
      <c r="AC20" s="3">
        <v>-222579909093765</v>
      </c>
      <c r="AD20" t="s">
        <v>346</v>
      </c>
      <c r="AE20" s="3">
        <v>-137456680288869</v>
      </c>
      <c r="AF20" s="3">
        <v>-124296879514824</v>
      </c>
      <c r="AG20" s="3">
        <v>-220437633772037</v>
      </c>
    </row>
    <row r="21" spans="1:33" x14ac:dyDescent="0.25">
      <c r="A21">
        <v>12</v>
      </c>
      <c r="B21" t="s">
        <v>347</v>
      </c>
      <c r="C21" t="s">
        <v>348</v>
      </c>
      <c r="D21" t="s">
        <v>349</v>
      </c>
      <c r="E21" t="s">
        <v>350</v>
      </c>
      <c r="F21" t="s">
        <v>351</v>
      </c>
      <c r="G21" s="3">
        <v>-143866539985323</v>
      </c>
      <c r="H21" s="3">
        <v>-14104682204514</v>
      </c>
      <c r="I21" s="3">
        <v>-249362952334614</v>
      </c>
      <c r="J21" t="s">
        <v>352</v>
      </c>
      <c r="K21" t="s">
        <v>353</v>
      </c>
      <c r="L21" t="s">
        <v>354</v>
      </c>
      <c r="M21" t="s">
        <v>355</v>
      </c>
      <c r="N21" t="s">
        <v>356</v>
      </c>
      <c r="O21" t="s">
        <v>357</v>
      </c>
      <c r="P21" t="s">
        <v>358</v>
      </c>
      <c r="Q21" t="s">
        <v>359</v>
      </c>
      <c r="R21" t="s">
        <v>360</v>
      </c>
      <c r="S21" t="s">
        <v>361</v>
      </c>
      <c r="T21" t="s">
        <v>362</v>
      </c>
      <c r="U21" t="s">
        <v>363</v>
      </c>
      <c r="V21" t="s">
        <v>364</v>
      </c>
      <c r="W21" t="s">
        <v>365</v>
      </c>
      <c r="X21" t="s">
        <v>366</v>
      </c>
      <c r="Y21" t="s">
        <v>367</v>
      </c>
      <c r="Z21" t="s">
        <v>368</v>
      </c>
      <c r="AA21" s="3">
        <v>-146163822477081</v>
      </c>
      <c r="AB21" s="3">
        <v>-143282829156618</v>
      </c>
      <c r="AC21" s="3">
        <v>-252330003439136</v>
      </c>
      <c r="AD21" t="s">
        <v>369</v>
      </c>
      <c r="AE21" s="3">
        <v>-141569257493565</v>
      </c>
      <c r="AF21" s="3">
        <v>-138810814933662</v>
      </c>
      <c r="AG21" s="3">
        <v>-246395901230092</v>
      </c>
    </row>
    <row r="22" spans="1:33" x14ac:dyDescent="0.25">
      <c r="A22">
        <v>18</v>
      </c>
      <c r="B22" t="s">
        <v>370</v>
      </c>
      <c r="C22" t="s">
        <v>371</v>
      </c>
      <c r="D22" t="s">
        <v>372</v>
      </c>
      <c r="E22" t="s">
        <v>373</v>
      </c>
      <c r="F22" t="s">
        <v>374</v>
      </c>
      <c r="G22" s="3">
        <v>-152553342888923</v>
      </c>
      <c r="H22" s="3">
        <v>-161174621423832</v>
      </c>
      <c r="I22" s="3">
        <v>-282788165381538</v>
      </c>
      <c r="J22" t="s">
        <v>375</v>
      </c>
      <c r="K22" t="s">
        <v>376</v>
      </c>
      <c r="L22" t="s">
        <v>377</v>
      </c>
      <c r="M22" t="s">
        <v>378</v>
      </c>
      <c r="N22" t="s">
        <v>379</v>
      </c>
      <c r="O22" t="s">
        <v>380</v>
      </c>
      <c r="P22" t="s">
        <v>381</v>
      </c>
      <c r="Q22" t="s">
        <v>382</v>
      </c>
      <c r="R22" t="s">
        <v>383</v>
      </c>
      <c r="S22" t="s">
        <v>384</v>
      </c>
      <c r="T22" t="s">
        <v>385</v>
      </c>
      <c r="U22" t="s">
        <v>386</v>
      </c>
      <c r="V22" t="s">
        <v>387</v>
      </c>
      <c r="W22" t="s">
        <v>388</v>
      </c>
      <c r="X22" t="s">
        <v>389</v>
      </c>
      <c r="Y22" t="s">
        <v>390</v>
      </c>
      <c r="Z22" t="s">
        <v>391</v>
      </c>
      <c r="AA22" s="3">
        <v>-156940193997833</v>
      </c>
      <c r="AB22" s="3">
        <v>-16543849866719</v>
      </c>
      <c r="AC22" s="3">
        <v>-288346165491086</v>
      </c>
      <c r="AD22" t="s">
        <v>392</v>
      </c>
      <c r="AE22" s="3">
        <v>-148166491780012</v>
      </c>
      <c r="AF22" s="3">
        <v>-156910744180474</v>
      </c>
      <c r="AG22" s="3">
        <v>-27723016527199</v>
      </c>
    </row>
    <row r="23" spans="1:33" x14ac:dyDescent="0.25">
      <c r="A23">
        <v>24</v>
      </c>
      <c r="B23" t="s">
        <v>393</v>
      </c>
      <c r="C23" t="s">
        <v>394</v>
      </c>
      <c r="D23" t="s">
        <v>395</v>
      </c>
      <c r="E23" t="s">
        <v>396</v>
      </c>
      <c r="F23" t="s">
        <v>397</v>
      </c>
      <c r="G23" s="3">
        <v>-163292762964108</v>
      </c>
      <c r="H23" s="3">
        <v>-1827698356538</v>
      </c>
      <c r="I23" s="3">
        <v>-317497475316708</v>
      </c>
      <c r="J23" t="s">
        <v>398</v>
      </c>
      <c r="K23" t="s">
        <v>399</v>
      </c>
      <c r="L23" t="s">
        <v>400</v>
      </c>
      <c r="M23" t="s">
        <v>401</v>
      </c>
      <c r="N23" t="s">
        <v>402</v>
      </c>
      <c r="O23" t="s">
        <v>403</v>
      </c>
      <c r="P23" t="s">
        <v>404</v>
      </c>
      <c r="Q23" t="s">
        <v>405</v>
      </c>
      <c r="R23" t="s">
        <v>406</v>
      </c>
      <c r="S23" t="s">
        <v>407</v>
      </c>
      <c r="T23" t="s">
        <v>408</v>
      </c>
      <c r="U23" t="s">
        <v>409</v>
      </c>
      <c r="V23" t="s">
        <v>410</v>
      </c>
      <c r="W23" t="s">
        <v>411</v>
      </c>
      <c r="X23" t="s">
        <v>412</v>
      </c>
      <c r="Y23" t="s">
        <v>413</v>
      </c>
      <c r="Z23" t="s">
        <v>414</v>
      </c>
      <c r="AA23" s="3">
        <v>-169864298115934</v>
      </c>
      <c r="AB23" s="3">
        <v>-189130037155651</v>
      </c>
      <c r="AC23" s="3">
        <v>-325710421299203</v>
      </c>
      <c r="AD23" t="s">
        <v>415</v>
      </c>
      <c r="AE23" s="3">
        <v>-156721227812283</v>
      </c>
      <c r="AF23" s="3">
        <v>-176409634151948</v>
      </c>
      <c r="AG23" s="3">
        <v>-309284529334212</v>
      </c>
    </row>
    <row r="26" spans="1:33" x14ac:dyDescent="0.25">
      <c r="A26" t="s">
        <v>416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  <c r="M26" t="s">
        <v>24</v>
      </c>
      <c r="N26" t="s">
        <v>25</v>
      </c>
      <c r="O26" t="s">
        <v>26</v>
      </c>
      <c r="P26" t="s">
        <v>27</v>
      </c>
      <c r="Q26" t="s">
        <v>28</v>
      </c>
      <c r="R26" t="s">
        <v>29</v>
      </c>
      <c r="S26" t="s">
        <v>30</v>
      </c>
      <c r="T26" t="s">
        <v>31</v>
      </c>
      <c r="U26" t="s">
        <v>32</v>
      </c>
      <c r="V26" t="s">
        <v>33</v>
      </c>
      <c r="W26" t="s">
        <v>34</v>
      </c>
      <c r="X26" t="s">
        <v>35</v>
      </c>
      <c r="Y26" t="s">
        <v>36</v>
      </c>
      <c r="Z26" t="s">
        <v>37</v>
      </c>
      <c r="AA26" t="s">
        <v>38</v>
      </c>
      <c r="AB26" t="s">
        <v>39</v>
      </c>
      <c r="AC26" t="s">
        <v>40</v>
      </c>
      <c r="AD26" t="s">
        <v>41</v>
      </c>
      <c r="AE26" t="s">
        <v>42</v>
      </c>
      <c r="AF26" t="s">
        <v>43</v>
      </c>
      <c r="AG26" t="s">
        <v>44</v>
      </c>
    </row>
    <row r="27" spans="1:33" x14ac:dyDescent="0.25">
      <c r="A27" t="s">
        <v>417</v>
      </c>
      <c r="B27" t="s">
        <v>418</v>
      </c>
      <c r="C27" t="s">
        <v>419</v>
      </c>
      <c r="D27" t="s">
        <v>420</v>
      </c>
      <c r="E27" t="s">
        <v>421</v>
      </c>
      <c r="F27" t="s">
        <v>422</v>
      </c>
      <c r="G27" s="3">
        <v>-157280128319027</v>
      </c>
      <c r="H27" s="3">
        <v>-139888332066096</v>
      </c>
      <c r="I27" s="3">
        <v>-210918791750566</v>
      </c>
      <c r="J27" t="s">
        <v>423</v>
      </c>
      <c r="K27" t="s">
        <v>424</v>
      </c>
      <c r="L27" t="s">
        <v>425</v>
      </c>
      <c r="M27" t="s">
        <v>426</v>
      </c>
      <c r="N27" t="s">
        <v>427</v>
      </c>
      <c r="O27" t="s">
        <v>428</v>
      </c>
      <c r="P27" t="s">
        <v>429</v>
      </c>
      <c r="Q27" t="s">
        <v>430</v>
      </c>
      <c r="R27" t="s">
        <v>431</v>
      </c>
      <c r="S27" t="s">
        <v>432</v>
      </c>
      <c r="T27" t="s">
        <v>433</v>
      </c>
      <c r="U27" t="s">
        <v>434</v>
      </c>
      <c r="V27" t="s">
        <v>435</v>
      </c>
      <c r="W27" t="s">
        <v>436</v>
      </c>
      <c r="X27" t="s">
        <v>437</v>
      </c>
      <c r="Y27" t="s">
        <v>438</v>
      </c>
      <c r="Z27" t="s">
        <v>439</v>
      </c>
      <c r="AA27" s="3">
        <v>-158413210088583</v>
      </c>
      <c r="AB27" s="3">
        <v>-140953030675631</v>
      </c>
      <c r="AC27" s="3">
        <v>-212269491220309</v>
      </c>
      <c r="AD27" t="s">
        <v>440</v>
      </c>
      <c r="AE27" s="3">
        <v>-156147046549471</v>
      </c>
      <c r="AF27" s="3">
        <v>-13882363345656</v>
      </c>
      <c r="AG27" s="3">
        <v>-209568092280822</v>
      </c>
    </row>
    <row r="28" spans="1:33" x14ac:dyDescent="0.25">
      <c r="A28" t="s">
        <v>441</v>
      </c>
      <c r="B28" t="s">
        <v>442</v>
      </c>
      <c r="C28" t="s">
        <v>443</v>
      </c>
      <c r="D28" t="s">
        <v>444</v>
      </c>
      <c r="E28" t="s">
        <v>445</v>
      </c>
      <c r="F28" t="s">
        <v>446</v>
      </c>
      <c r="G28" s="3">
        <v>-140062890535672</v>
      </c>
      <c r="H28" s="3">
        <v>-123196459173386</v>
      </c>
      <c r="I28" s="3">
        <v>-213593565881923</v>
      </c>
      <c r="J28" t="s">
        <v>447</v>
      </c>
      <c r="K28" t="s">
        <v>448</v>
      </c>
      <c r="L28" t="s">
        <v>449</v>
      </c>
      <c r="M28" t="s">
        <v>450</v>
      </c>
      <c r="N28" t="s">
        <v>451</v>
      </c>
      <c r="O28" t="s">
        <v>452</v>
      </c>
      <c r="P28" t="s">
        <v>453</v>
      </c>
      <c r="Q28" t="s">
        <v>454</v>
      </c>
      <c r="R28" t="s">
        <v>455</v>
      </c>
      <c r="S28" t="s">
        <v>456</v>
      </c>
      <c r="T28" t="s">
        <v>457</v>
      </c>
      <c r="U28" t="s">
        <v>458</v>
      </c>
      <c r="V28" t="s">
        <v>459</v>
      </c>
      <c r="W28" t="s">
        <v>460</v>
      </c>
      <c r="X28" t="s">
        <v>461</v>
      </c>
      <c r="Y28" t="s">
        <v>462</v>
      </c>
      <c r="Z28" t="s">
        <v>463</v>
      </c>
      <c r="AA28" s="3">
        <v>-141310055795008</v>
      </c>
      <c r="AB28" s="3">
        <v>-124374380654261</v>
      </c>
      <c r="AC28" s="3">
        <v>-215166858534821</v>
      </c>
      <c r="AD28" t="s">
        <v>464</v>
      </c>
      <c r="AE28" s="3">
        <v>-138815725276335</v>
      </c>
      <c r="AF28" s="3">
        <v>-122018537692511</v>
      </c>
      <c r="AG28" s="3">
        <v>-212020273229025</v>
      </c>
    </row>
    <row r="29" spans="1:33" x14ac:dyDescent="0.25">
      <c r="A29" t="s">
        <v>465</v>
      </c>
      <c r="B29" t="s">
        <v>466</v>
      </c>
      <c r="C29" t="s">
        <v>467</v>
      </c>
      <c r="D29" t="s">
        <v>468</v>
      </c>
      <c r="E29" t="s">
        <v>469</v>
      </c>
      <c r="F29" t="s">
        <v>470</v>
      </c>
      <c r="G29" s="3">
        <v>-110435283673227</v>
      </c>
      <c r="H29" t="s">
        <v>471</v>
      </c>
      <c r="I29" s="3">
        <v>-22838613371584</v>
      </c>
      <c r="J29" t="s">
        <v>472</v>
      </c>
      <c r="K29" t="s">
        <v>473</v>
      </c>
      <c r="L29" t="s">
        <v>474</v>
      </c>
      <c r="M29" t="s">
        <v>475</v>
      </c>
      <c r="N29" t="s">
        <v>476</v>
      </c>
      <c r="O29" t="s">
        <v>477</v>
      </c>
      <c r="P29" t="s">
        <v>478</v>
      </c>
      <c r="Q29" t="s">
        <v>479</v>
      </c>
      <c r="R29" t="s">
        <v>480</v>
      </c>
      <c r="S29" t="s">
        <v>481</v>
      </c>
      <c r="T29" t="s">
        <v>482</v>
      </c>
      <c r="U29" t="s">
        <v>483</v>
      </c>
      <c r="V29" t="s">
        <v>484</v>
      </c>
      <c r="W29" t="s">
        <v>485</v>
      </c>
      <c r="X29" t="s">
        <v>486</v>
      </c>
      <c r="Y29" t="s">
        <v>487</v>
      </c>
      <c r="Z29" t="s">
        <v>488</v>
      </c>
      <c r="AA29" s="3">
        <v>-111618250950255</v>
      </c>
      <c r="AB29" s="3">
        <v>-100752425821608</v>
      </c>
      <c r="AC29" s="3">
        <v>-230158227639004</v>
      </c>
      <c r="AD29" t="s">
        <v>489</v>
      </c>
      <c r="AE29" s="3">
        <v>-109252316396198</v>
      </c>
      <c r="AF29" t="s">
        <v>490</v>
      </c>
      <c r="AG29" s="3">
        <v>-226614039792676</v>
      </c>
    </row>
    <row r="32" spans="1:33" x14ac:dyDescent="0.25">
      <c r="A32" t="s">
        <v>491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20</v>
      </c>
      <c r="J32" t="s">
        <v>21</v>
      </c>
      <c r="K32" t="s">
        <v>22</v>
      </c>
      <c r="L32" t="s">
        <v>23</v>
      </c>
      <c r="M32" t="s">
        <v>24</v>
      </c>
      <c r="N32" t="s">
        <v>25</v>
      </c>
      <c r="O32" t="s">
        <v>26</v>
      </c>
      <c r="P32" t="s">
        <v>27</v>
      </c>
      <c r="Q32" t="s">
        <v>28</v>
      </c>
      <c r="R32" t="s">
        <v>29</v>
      </c>
      <c r="S32" t="s">
        <v>30</v>
      </c>
      <c r="T32" t="s">
        <v>31</v>
      </c>
      <c r="U32" t="s">
        <v>32</v>
      </c>
      <c r="V32" t="s">
        <v>33</v>
      </c>
      <c r="W32" t="s">
        <v>34</v>
      </c>
      <c r="X32" t="s">
        <v>35</v>
      </c>
      <c r="Y32" t="s">
        <v>36</v>
      </c>
      <c r="Z32" t="s">
        <v>37</v>
      </c>
      <c r="AA32" t="s">
        <v>38</v>
      </c>
      <c r="AB32" t="s">
        <v>39</v>
      </c>
      <c r="AC32" t="s">
        <v>40</v>
      </c>
      <c r="AD32" t="s">
        <v>41</v>
      </c>
      <c r="AE32" t="s">
        <v>42</v>
      </c>
      <c r="AF32" t="s">
        <v>43</v>
      </c>
      <c r="AG32" t="s">
        <v>44</v>
      </c>
    </row>
    <row r="33" spans="1:33" x14ac:dyDescent="0.25">
      <c r="A33" t="s">
        <v>492</v>
      </c>
      <c r="B33" t="s">
        <v>493</v>
      </c>
      <c r="C33" t="s">
        <v>494</v>
      </c>
      <c r="D33" t="s">
        <v>495</v>
      </c>
      <c r="E33" t="s">
        <v>496</v>
      </c>
      <c r="F33" t="s">
        <v>497</v>
      </c>
      <c r="G33" s="3">
        <v>-164358563682447</v>
      </c>
      <c r="H33" s="3">
        <v>-118496208359267</v>
      </c>
      <c r="I33" s="3">
        <v>-19262008631311</v>
      </c>
      <c r="J33" t="s">
        <v>498</v>
      </c>
      <c r="K33" t="s">
        <v>499</v>
      </c>
      <c r="L33" t="s">
        <v>500</v>
      </c>
      <c r="M33" t="s">
        <v>501</v>
      </c>
      <c r="N33" t="s">
        <v>502</v>
      </c>
      <c r="O33" t="s">
        <v>503</v>
      </c>
      <c r="P33" t="s">
        <v>504</v>
      </c>
      <c r="Q33" t="s">
        <v>505</v>
      </c>
      <c r="R33" t="s">
        <v>506</v>
      </c>
      <c r="S33" t="s">
        <v>507</v>
      </c>
      <c r="T33" t="s">
        <v>508</v>
      </c>
      <c r="U33" t="s">
        <v>509</v>
      </c>
      <c r="V33" t="s">
        <v>510</v>
      </c>
      <c r="W33" t="s">
        <v>511</v>
      </c>
      <c r="X33" t="s">
        <v>512</v>
      </c>
      <c r="Y33" t="s">
        <v>513</v>
      </c>
      <c r="Z33" t="s">
        <v>514</v>
      </c>
      <c r="AA33" s="3">
        <v>-16684651815115</v>
      </c>
      <c r="AB33" s="3">
        <v>-12088588649946</v>
      </c>
      <c r="AC33" s="3">
        <v>-195640886115697</v>
      </c>
      <c r="AD33" t="s">
        <v>515</v>
      </c>
      <c r="AE33" s="3">
        <v>-161870609213743</v>
      </c>
      <c r="AF33" s="3">
        <v>-116106530219075</v>
      </c>
      <c r="AG33" s="3">
        <v>-189599286510522</v>
      </c>
    </row>
    <row r="34" spans="1:33" x14ac:dyDescent="0.25">
      <c r="A34" t="s">
        <v>516</v>
      </c>
      <c r="B34" t="s">
        <v>517</v>
      </c>
      <c r="C34" t="s">
        <v>518</v>
      </c>
      <c r="D34" t="s">
        <v>519</v>
      </c>
      <c r="E34" t="s">
        <v>520</v>
      </c>
      <c r="F34" t="s">
        <v>521</v>
      </c>
      <c r="G34" s="3">
        <v>-140592195740704</v>
      </c>
      <c r="H34" s="3">
        <v>-118242973338911</v>
      </c>
      <c r="I34" s="3">
        <v>-217742355511621</v>
      </c>
      <c r="J34" t="s">
        <v>522</v>
      </c>
      <c r="K34" t="s">
        <v>523</v>
      </c>
      <c r="L34" t="s">
        <v>524</v>
      </c>
      <c r="M34" t="s">
        <v>525</v>
      </c>
      <c r="N34" t="s">
        <v>526</v>
      </c>
      <c r="O34" t="s">
        <v>527</v>
      </c>
      <c r="P34" t="s">
        <v>528</v>
      </c>
      <c r="Q34" t="s">
        <v>529</v>
      </c>
      <c r="R34" t="s">
        <v>530</v>
      </c>
      <c r="S34" t="s">
        <v>531</v>
      </c>
      <c r="T34" t="s">
        <v>532</v>
      </c>
      <c r="U34" t="s">
        <v>533</v>
      </c>
      <c r="V34" t="s">
        <v>534</v>
      </c>
      <c r="W34" t="s">
        <v>535</v>
      </c>
      <c r="X34" t="s">
        <v>536</v>
      </c>
      <c r="Y34" t="s">
        <v>537</v>
      </c>
      <c r="Z34" t="s">
        <v>538</v>
      </c>
      <c r="AA34" s="3">
        <v>-142091782192588</v>
      </c>
      <c r="AB34" s="3">
        <v>-119682557795164</v>
      </c>
      <c r="AC34" s="3">
        <v>-219680853405168</v>
      </c>
      <c r="AD34" t="s">
        <v>539</v>
      </c>
      <c r="AE34" s="3">
        <v>-13909260928882</v>
      </c>
      <c r="AF34" s="3">
        <v>-116803388882658</v>
      </c>
      <c r="AG34" s="3">
        <v>-215803857618075</v>
      </c>
    </row>
    <row r="35" spans="1:33" x14ac:dyDescent="0.25">
      <c r="A35" t="s">
        <v>540</v>
      </c>
      <c r="B35" t="s">
        <v>541</v>
      </c>
      <c r="C35" t="s">
        <v>542</v>
      </c>
      <c r="D35" t="s">
        <v>543</v>
      </c>
      <c r="E35" t="s">
        <v>544</v>
      </c>
      <c r="F35" t="s">
        <v>545</v>
      </c>
      <c r="G35" s="3">
        <v>-122955779302905</v>
      </c>
      <c r="H35" s="3">
        <v>-124144497105008</v>
      </c>
      <c r="I35" s="3">
        <v>-22979945196729</v>
      </c>
      <c r="J35" t="s">
        <v>546</v>
      </c>
      <c r="K35" t="s">
        <v>547</v>
      </c>
      <c r="L35" t="s">
        <v>548</v>
      </c>
      <c r="M35" t="s">
        <v>549</v>
      </c>
      <c r="N35" t="s">
        <v>550</v>
      </c>
      <c r="O35" t="s">
        <v>551</v>
      </c>
      <c r="P35" t="s">
        <v>552</v>
      </c>
      <c r="Q35" t="s">
        <v>553</v>
      </c>
      <c r="R35" t="s">
        <v>554</v>
      </c>
      <c r="S35" t="s">
        <v>555</v>
      </c>
      <c r="T35" t="s">
        <v>556</v>
      </c>
      <c r="U35" t="s">
        <v>557</v>
      </c>
      <c r="V35" t="s">
        <v>558</v>
      </c>
      <c r="W35" t="s">
        <v>559</v>
      </c>
      <c r="X35" t="s">
        <v>560</v>
      </c>
      <c r="Y35" t="s">
        <v>561</v>
      </c>
      <c r="Z35" t="s">
        <v>562</v>
      </c>
      <c r="AA35" s="3">
        <v>-124763348761645</v>
      </c>
      <c r="AB35" s="3">
        <v>-125915407543817</v>
      </c>
      <c r="AC35" s="3">
        <v>-232152396163391</v>
      </c>
      <c r="AD35" t="s">
        <v>563</v>
      </c>
      <c r="AE35" s="3">
        <v>-121148209844164</v>
      </c>
      <c r="AF35" s="3">
        <v>-122373586666198</v>
      </c>
      <c r="AG35" s="3">
        <v>-22744650777119</v>
      </c>
    </row>
    <row r="36" spans="1:33" x14ac:dyDescent="0.25">
      <c r="A36" t="s">
        <v>564</v>
      </c>
      <c r="B36" t="s">
        <v>565</v>
      </c>
      <c r="C36" t="s">
        <v>566</v>
      </c>
      <c r="D36" t="s">
        <v>567</v>
      </c>
      <c r="E36" t="s">
        <v>568</v>
      </c>
      <c r="F36" t="s">
        <v>569</v>
      </c>
      <c r="G36" s="3">
        <v>-107320174719299</v>
      </c>
      <c r="H36" s="3">
        <v>-132568548077548</v>
      </c>
      <c r="I36" s="3">
        <v>-238448587584168</v>
      </c>
      <c r="J36" t="s">
        <v>570</v>
      </c>
      <c r="K36" t="s">
        <v>571</v>
      </c>
      <c r="L36" t="s">
        <v>572</v>
      </c>
      <c r="M36" t="s">
        <v>573</v>
      </c>
      <c r="N36" t="s">
        <v>574</v>
      </c>
      <c r="O36" t="s">
        <v>575</v>
      </c>
      <c r="P36" t="s">
        <v>576</v>
      </c>
      <c r="Q36" t="s">
        <v>577</v>
      </c>
      <c r="R36" t="s">
        <v>578</v>
      </c>
      <c r="S36" t="s">
        <v>579</v>
      </c>
      <c r="T36" t="s">
        <v>580</v>
      </c>
      <c r="U36" t="s">
        <v>581</v>
      </c>
      <c r="V36" t="s">
        <v>582</v>
      </c>
      <c r="W36" t="s">
        <v>583</v>
      </c>
      <c r="X36" t="s">
        <v>584</v>
      </c>
      <c r="Y36" t="s">
        <v>585</v>
      </c>
      <c r="Z36" t="s">
        <v>586</v>
      </c>
      <c r="AA36" s="3">
        <v>-11029872729403</v>
      </c>
      <c r="AB36" s="3">
        <v>-1355042576941</v>
      </c>
      <c r="AC36" s="3">
        <v>-242255059452243</v>
      </c>
      <c r="AD36" t="s">
        <v>587</v>
      </c>
      <c r="AE36" s="3">
        <v>-104341622144569</v>
      </c>
      <c r="AF36" s="3">
        <v>-129632838460996</v>
      </c>
      <c r="AG36" s="3">
        <v>-234642115716094</v>
      </c>
    </row>
    <row r="37" spans="1:33" x14ac:dyDescent="0.25">
      <c r="A37" t="s">
        <v>588</v>
      </c>
      <c r="B37" t="s">
        <v>589</v>
      </c>
      <c r="C37" t="s">
        <v>590</v>
      </c>
      <c r="D37" t="s">
        <v>591</v>
      </c>
      <c r="E37" t="s">
        <v>592</v>
      </c>
      <c r="F37" t="s">
        <v>593</v>
      </c>
      <c r="G37" t="s">
        <v>594</v>
      </c>
      <c r="H37" s="3">
        <v>-137928958247061</v>
      </c>
      <c r="I37" s="3">
        <v>-261219678097216</v>
      </c>
      <c r="J37" t="s">
        <v>595</v>
      </c>
      <c r="K37" t="s">
        <v>596</v>
      </c>
      <c r="L37" t="s">
        <v>597</v>
      </c>
      <c r="M37" t="s">
        <v>598</v>
      </c>
      <c r="N37" t="s">
        <v>599</v>
      </c>
      <c r="O37" t="s">
        <v>600</v>
      </c>
      <c r="P37" t="s">
        <v>601</v>
      </c>
      <c r="Q37" t="s">
        <v>602</v>
      </c>
      <c r="R37" t="s">
        <v>603</v>
      </c>
      <c r="S37" t="s">
        <v>604</v>
      </c>
      <c r="T37" t="s">
        <v>605</v>
      </c>
      <c r="U37" t="s">
        <v>606</v>
      </c>
      <c r="V37" t="s">
        <v>607</v>
      </c>
      <c r="W37" t="s">
        <v>608</v>
      </c>
      <c r="X37" t="s">
        <v>609</v>
      </c>
      <c r="Y37" t="s">
        <v>610</v>
      </c>
      <c r="Z37" t="s">
        <v>611</v>
      </c>
      <c r="AA37" t="s">
        <v>612</v>
      </c>
      <c r="AB37" s="3">
        <v>-143304279470438</v>
      </c>
      <c r="AC37" s="3">
        <v>-268306662125338</v>
      </c>
      <c r="AD37" t="s">
        <v>613</v>
      </c>
      <c r="AE37" t="s">
        <v>614</v>
      </c>
      <c r="AF37" s="3">
        <v>-132553637023683</v>
      </c>
      <c r="AG37" s="3">
        <v>-254132694069095</v>
      </c>
    </row>
    <row r="40" spans="1:33" x14ac:dyDescent="0.25">
      <c r="A40" t="s">
        <v>615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20</v>
      </c>
      <c r="J40" t="s">
        <v>21</v>
      </c>
      <c r="K40" t="s">
        <v>22</v>
      </c>
      <c r="L40" t="s">
        <v>23</v>
      </c>
      <c r="M40" t="s">
        <v>24</v>
      </c>
      <c r="N40" t="s">
        <v>25</v>
      </c>
      <c r="O40" t="s">
        <v>26</v>
      </c>
      <c r="P40" t="s">
        <v>27</v>
      </c>
      <c r="Q40" t="s">
        <v>28</v>
      </c>
      <c r="R40" t="s">
        <v>29</v>
      </c>
      <c r="S40" t="s">
        <v>30</v>
      </c>
      <c r="T40" t="s">
        <v>31</v>
      </c>
      <c r="U40" t="s">
        <v>32</v>
      </c>
      <c r="V40" t="s">
        <v>33</v>
      </c>
      <c r="W40" t="s">
        <v>34</v>
      </c>
      <c r="X40" t="s">
        <v>35</v>
      </c>
      <c r="Y40" t="s">
        <v>36</v>
      </c>
      <c r="Z40" t="s">
        <v>37</v>
      </c>
      <c r="AA40" t="s">
        <v>38</v>
      </c>
      <c r="AB40" t="s">
        <v>39</v>
      </c>
      <c r="AC40" t="s">
        <v>40</v>
      </c>
      <c r="AD40" t="s">
        <v>41</v>
      </c>
      <c r="AE40" t="s">
        <v>42</v>
      </c>
      <c r="AF40" t="s">
        <v>43</v>
      </c>
      <c r="AG40" t="s">
        <v>44</v>
      </c>
    </row>
    <row r="41" spans="1:33" x14ac:dyDescent="0.25">
      <c r="A41" t="s">
        <v>492</v>
      </c>
      <c r="B41" t="s">
        <v>616</v>
      </c>
      <c r="C41" t="s">
        <v>617</v>
      </c>
      <c r="D41" t="s">
        <v>618</v>
      </c>
      <c r="E41" t="s">
        <v>619</v>
      </c>
      <c r="F41" t="s">
        <v>620</v>
      </c>
      <c r="G41" t="s">
        <v>621</v>
      </c>
      <c r="H41" s="3">
        <v>-10636942017168</v>
      </c>
      <c r="I41" s="3">
        <v>-292332233473323</v>
      </c>
      <c r="J41" t="s">
        <v>622</v>
      </c>
      <c r="K41" t="s">
        <v>623</v>
      </c>
      <c r="L41" t="s">
        <v>624</v>
      </c>
      <c r="M41" t="s">
        <v>625</v>
      </c>
      <c r="N41" t="s">
        <v>626</v>
      </c>
      <c r="O41" t="s">
        <v>627</v>
      </c>
      <c r="P41" t="s">
        <v>628</v>
      </c>
      <c r="Q41" t="s">
        <v>629</v>
      </c>
      <c r="R41" t="s">
        <v>630</v>
      </c>
      <c r="S41" t="s">
        <v>631</v>
      </c>
      <c r="T41" t="s">
        <v>632</v>
      </c>
      <c r="U41" t="s">
        <v>633</v>
      </c>
      <c r="V41" t="s">
        <v>634</v>
      </c>
      <c r="W41" t="s">
        <v>635</v>
      </c>
      <c r="X41" t="s">
        <v>636</v>
      </c>
      <c r="Y41" t="s">
        <v>637</v>
      </c>
      <c r="Z41" t="s">
        <v>638</v>
      </c>
      <c r="AA41" s="3">
        <v>-102225957501482</v>
      </c>
      <c r="AB41" s="3">
        <v>-110257405782581</v>
      </c>
      <c r="AC41" s="3">
        <v>-297336704602233</v>
      </c>
      <c r="AD41" t="s">
        <v>639</v>
      </c>
      <c r="AE41" t="s">
        <v>640</v>
      </c>
      <c r="AF41" s="3">
        <v>-102481434560778</v>
      </c>
      <c r="AG41" s="3">
        <v>-287327762344413</v>
      </c>
    </row>
    <row r="42" spans="1:33" x14ac:dyDescent="0.25">
      <c r="A42" t="s">
        <v>516</v>
      </c>
      <c r="B42" t="s">
        <v>641</v>
      </c>
      <c r="C42" t="s">
        <v>642</v>
      </c>
      <c r="D42" t="s">
        <v>643</v>
      </c>
      <c r="E42" t="s">
        <v>644</v>
      </c>
      <c r="F42" t="s">
        <v>645</v>
      </c>
      <c r="G42" s="3">
        <v>-120683685400805</v>
      </c>
      <c r="H42" s="3">
        <v>-113799277397365</v>
      </c>
      <c r="I42" s="3">
        <v>-257806017913882</v>
      </c>
      <c r="J42" t="s">
        <v>646</v>
      </c>
      <c r="K42" t="s">
        <v>647</v>
      </c>
      <c r="L42" t="s">
        <v>648</v>
      </c>
      <c r="M42" t="s">
        <v>649</v>
      </c>
      <c r="N42" t="s">
        <v>650</v>
      </c>
      <c r="O42" t="s">
        <v>651</v>
      </c>
      <c r="P42" t="s">
        <v>652</v>
      </c>
      <c r="Q42" t="s">
        <v>653</v>
      </c>
      <c r="R42" t="s">
        <v>654</v>
      </c>
      <c r="S42" t="s">
        <v>655</v>
      </c>
      <c r="T42" t="s">
        <v>656</v>
      </c>
      <c r="U42" t="s">
        <v>657</v>
      </c>
      <c r="V42" t="s">
        <v>658</v>
      </c>
      <c r="W42" t="s">
        <v>659</v>
      </c>
      <c r="X42" t="s">
        <v>660</v>
      </c>
      <c r="Y42" t="s">
        <v>661</v>
      </c>
      <c r="Z42" t="s">
        <v>662</v>
      </c>
      <c r="AA42" s="3">
        <v>-123401344106015</v>
      </c>
      <c r="AB42" s="3">
        <v>-116423122171071</v>
      </c>
      <c r="AC42" s="3">
        <v>-26126573408585</v>
      </c>
      <c r="AD42" t="s">
        <v>663</v>
      </c>
      <c r="AE42" s="3">
        <v>-117966026695594</v>
      </c>
      <c r="AF42" s="3">
        <v>-111175432623659</v>
      </c>
      <c r="AG42" s="3">
        <v>-254346301741915</v>
      </c>
    </row>
    <row r="43" spans="1:33" x14ac:dyDescent="0.25">
      <c r="A43" t="s">
        <v>540</v>
      </c>
      <c r="B43" t="s">
        <v>664</v>
      </c>
      <c r="C43" t="s">
        <v>665</v>
      </c>
      <c r="D43" t="s">
        <v>666</v>
      </c>
      <c r="E43" t="s">
        <v>667</v>
      </c>
      <c r="F43" t="s">
        <v>668</v>
      </c>
      <c r="G43" s="3">
        <v>-135986092240005</v>
      </c>
      <c r="H43" s="3">
        <v>-125057381186803</v>
      </c>
      <c r="I43" s="3">
        <v>-224147112980423</v>
      </c>
      <c r="J43" t="s">
        <v>669</v>
      </c>
      <c r="K43" t="s">
        <v>670</v>
      </c>
      <c r="L43" t="s">
        <v>671</v>
      </c>
      <c r="M43" t="s">
        <v>672</v>
      </c>
      <c r="N43" t="s">
        <v>673</v>
      </c>
      <c r="O43" t="s">
        <v>674</v>
      </c>
      <c r="P43" t="s">
        <v>675</v>
      </c>
      <c r="Q43" t="s">
        <v>676</v>
      </c>
      <c r="R43" t="s">
        <v>677</v>
      </c>
      <c r="S43" t="s">
        <v>678</v>
      </c>
      <c r="T43" t="s">
        <v>679</v>
      </c>
      <c r="U43" t="s">
        <v>680</v>
      </c>
      <c r="V43" t="s">
        <v>681</v>
      </c>
      <c r="W43" t="s">
        <v>682</v>
      </c>
      <c r="X43" t="s">
        <v>683</v>
      </c>
      <c r="Y43" t="s">
        <v>684</v>
      </c>
      <c r="Z43" t="s">
        <v>685</v>
      </c>
      <c r="AA43" s="3">
        <v>-13753726662851</v>
      </c>
      <c r="AB43" s="3">
        <v>-126559405829257</v>
      </c>
      <c r="AC43" s="3">
        <v>-226145953960574</v>
      </c>
      <c r="AD43" t="s">
        <v>686</v>
      </c>
      <c r="AE43" s="3">
        <v>-1344349178515</v>
      </c>
      <c r="AF43" s="3">
        <v>-12355535654435</v>
      </c>
      <c r="AG43" s="3">
        <v>-222148272000272</v>
      </c>
    </row>
    <row r="44" spans="1:33" x14ac:dyDescent="0.25">
      <c r="A44" t="s">
        <v>564</v>
      </c>
      <c r="B44" t="s">
        <v>687</v>
      </c>
      <c r="C44" t="s">
        <v>688</v>
      </c>
      <c r="D44" t="s">
        <v>689</v>
      </c>
      <c r="E44" t="s">
        <v>690</v>
      </c>
      <c r="F44" t="s">
        <v>691</v>
      </c>
      <c r="G44" s="3">
        <v>-146648286497324</v>
      </c>
      <c r="H44" s="3">
        <v>-13077310284127</v>
      </c>
      <c r="I44" s="3">
        <v>-192839236392477</v>
      </c>
      <c r="J44" t="s">
        <v>692</v>
      </c>
      <c r="K44" t="s">
        <v>693</v>
      </c>
      <c r="L44" t="s">
        <v>694</v>
      </c>
      <c r="M44" t="s">
        <v>695</v>
      </c>
      <c r="N44" t="s">
        <v>696</v>
      </c>
      <c r="O44" t="s">
        <v>697</v>
      </c>
      <c r="P44" t="s">
        <v>698</v>
      </c>
      <c r="Q44" t="s">
        <v>699</v>
      </c>
      <c r="R44" t="s">
        <v>700</v>
      </c>
      <c r="S44" t="s">
        <v>701</v>
      </c>
      <c r="T44" t="s">
        <v>702</v>
      </c>
      <c r="U44" t="s">
        <v>703</v>
      </c>
      <c r="V44" t="s">
        <v>704</v>
      </c>
      <c r="W44" t="s">
        <v>705</v>
      </c>
      <c r="X44" t="s">
        <v>706</v>
      </c>
      <c r="Y44" t="s">
        <v>707</v>
      </c>
      <c r="Z44" t="s">
        <v>708</v>
      </c>
      <c r="AA44" s="3">
        <v>-148258019534591</v>
      </c>
      <c r="AB44" s="3">
        <v>-132332773193801</v>
      </c>
      <c r="AC44" s="3">
        <v>-194831800041307</v>
      </c>
      <c r="AD44" t="s">
        <v>709</v>
      </c>
      <c r="AE44" s="3">
        <v>-145038553460056</v>
      </c>
      <c r="AF44" s="3">
        <v>-129213432488739</v>
      </c>
      <c r="AG44" s="3">
        <v>-190846672743648</v>
      </c>
    </row>
    <row r="45" spans="1:33" x14ac:dyDescent="0.25">
      <c r="A45" t="s">
        <v>588</v>
      </c>
      <c r="B45" t="s">
        <v>710</v>
      </c>
      <c r="C45" t="s">
        <v>711</v>
      </c>
      <c r="D45" t="s">
        <v>712</v>
      </c>
      <c r="E45" t="s">
        <v>713</v>
      </c>
      <c r="F45" t="s">
        <v>714</v>
      </c>
      <c r="G45" s="3">
        <v>-15707217287936</v>
      </c>
      <c r="H45" s="3">
        <v>-124403456204609</v>
      </c>
      <c r="I45" s="3">
        <v>-178912401468788</v>
      </c>
      <c r="J45" t="s">
        <v>715</v>
      </c>
      <c r="K45" t="s">
        <v>716</v>
      </c>
      <c r="L45" t="s">
        <v>717</v>
      </c>
      <c r="M45" t="s">
        <v>718</v>
      </c>
      <c r="N45" t="s">
        <v>719</v>
      </c>
      <c r="O45" t="s">
        <v>720</v>
      </c>
      <c r="P45" t="s">
        <v>721</v>
      </c>
      <c r="Q45" t="s">
        <v>722</v>
      </c>
      <c r="R45" t="s">
        <v>723</v>
      </c>
      <c r="S45" t="s">
        <v>724</v>
      </c>
      <c r="T45" t="s">
        <v>725</v>
      </c>
      <c r="U45" t="s">
        <v>726</v>
      </c>
      <c r="V45" t="s">
        <v>727</v>
      </c>
      <c r="W45" t="s">
        <v>728</v>
      </c>
      <c r="X45" t="s">
        <v>729</v>
      </c>
      <c r="Y45" t="s">
        <v>730</v>
      </c>
      <c r="Z45" t="s">
        <v>731</v>
      </c>
      <c r="AA45" s="3">
        <v>-159741594030452</v>
      </c>
      <c r="AB45" s="3">
        <v>-127021716664594</v>
      </c>
      <c r="AC45" s="3">
        <v>-182274673629984</v>
      </c>
      <c r="AD45" t="s">
        <v>732</v>
      </c>
      <c r="AE45" s="3">
        <v>-154402751728268</v>
      </c>
      <c r="AF45" s="3">
        <v>-121785195744624</v>
      </c>
      <c r="AG45" s="3">
        <v>-175550129307591</v>
      </c>
    </row>
    <row r="48" spans="1:33" x14ac:dyDescent="0.25">
      <c r="A48" t="s">
        <v>733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 t="s">
        <v>20</v>
      </c>
      <c r="J48" t="s">
        <v>21</v>
      </c>
      <c r="K48" t="s">
        <v>22</v>
      </c>
      <c r="L48" t="s">
        <v>23</v>
      </c>
      <c r="M48" t="s">
        <v>24</v>
      </c>
      <c r="N48" t="s">
        <v>25</v>
      </c>
      <c r="O48" t="s">
        <v>26</v>
      </c>
      <c r="P48" t="s">
        <v>27</v>
      </c>
      <c r="Q48" t="s">
        <v>28</v>
      </c>
      <c r="R48" t="s">
        <v>29</v>
      </c>
      <c r="S48" t="s">
        <v>30</v>
      </c>
      <c r="T48" t="s">
        <v>31</v>
      </c>
      <c r="U48" t="s">
        <v>32</v>
      </c>
      <c r="V48" t="s">
        <v>33</v>
      </c>
      <c r="W48" t="s">
        <v>34</v>
      </c>
      <c r="X48" t="s">
        <v>35</v>
      </c>
      <c r="Y48" t="s">
        <v>36</v>
      </c>
      <c r="Z48" t="s">
        <v>37</v>
      </c>
      <c r="AA48" t="s">
        <v>38</v>
      </c>
      <c r="AB48" t="s">
        <v>39</v>
      </c>
      <c r="AC48" t="s">
        <v>40</v>
      </c>
      <c r="AD48" t="s">
        <v>41</v>
      </c>
      <c r="AE48" t="s">
        <v>42</v>
      </c>
      <c r="AF48" t="s">
        <v>43</v>
      </c>
      <c r="AG48" t="s">
        <v>44</v>
      </c>
    </row>
    <row r="49" spans="1:33" x14ac:dyDescent="0.25">
      <c r="A49" t="s">
        <v>734</v>
      </c>
      <c r="B49" t="s">
        <v>735</v>
      </c>
      <c r="C49" t="s">
        <v>736</v>
      </c>
      <c r="D49" t="s">
        <v>737</v>
      </c>
      <c r="E49" t="s">
        <v>738</v>
      </c>
      <c r="F49" t="s">
        <v>739</v>
      </c>
      <c r="G49" t="s">
        <v>740</v>
      </c>
      <c r="H49" s="3">
        <v>-110696541045519</v>
      </c>
      <c r="I49" s="3">
        <v>-239130826941836</v>
      </c>
      <c r="J49" t="s">
        <v>741</v>
      </c>
      <c r="K49" t="s">
        <v>742</v>
      </c>
      <c r="L49" t="s">
        <v>743</v>
      </c>
      <c r="M49" t="s">
        <v>744</v>
      </c>
      <c r="N49" t="s">
        <v>745</v>
      </c>
      <c r="O49" t="s">
        <v>746</v>
      </c>
      <c r="P49" t="s">
        <v>747</v>
      </c>
      <c r="Q49" t="s">
        <v>748</v>
      </c>
      <c r="R49" t="s">
        <v>749</v>
      </c>
      <c r="S49" t="s">
        <v>750</v>
      </c>
      <c r="T49" t="s">
        <v>751</v>
      </c>
      <c r="U49" t="s">
        <v>752</v>
      </c>
      <c r="V49" t="s">
        <v>753</v>
      </c>
      <c r="W49" t="s">
        <v>754</v>
      </c>
      <c r="X49" t="s">
        <v>755</v>
      </c>
      <c r="Y49" t="s">
        <v>756</v>
      </c>
      <c r="Z49" t="s">
        <v>757</v>
      </c>
      <c r="AA49" t="s">
        <v>758</v>
      </c>
      <c r="AB49" s="3">
        <v>-111821148267126</v>
      </c>
      <c r="AC49" s="3">
        <v>-240763580496423</v>
      </c>
      <c r="AD49" t="s">
        <v>759</v>
      </c>
      <c r="AE49" t="s">
        <v>760</v>
      </c>
      <c r="AF49" s="3">
        <v>-109571933823912</v>
      </c>
      <c r="AG49" s="3">
        <v>-23749807338725</v>
      </c>
    </row>
    <row r="50" spans="1:33" x14ac:dyDescent="0.25">
      <c r="A50" t="s">
        <v>761</v>
      </c>
      <c r="B50" t="s">
        <v>762</v>
      </c>
      <c r="C50" t="s">
        <v>763</v>
      </c>
      <c r="D50" t="s">
        <v>764</v>
      </c>
      <c r="E50" t="s">
        <v>765</v>
      </c>
      <c r="F50" t="s">
        <v>766</v>
      </c>
      <c r="G50" s="3">
        <v>-126456762900285</v>
      </c>
      <c r="H50" s="3">
        <v>-106191800601906</v>
      </c>
      <c r="I50" s="3">
        <v>-225065207032512</v>
      </c>
      <c r="J50" t="s">
        <v>767</v>
      </c>
      <c r="K50" t="s">
        <v>768</v>
      </c>
      <c r="L50" t="s">
        <v>769</v>
      </c>
      <c r="M50" t="s">
        <v>770</v>
      </c>
      <c r="N50" t="s">
        <v>771</v>
      </c>
      <c r="O50" t="s">
        <v>772</v>
      </c>
      <c r="P50" t="s">
        <v>773</v>
      </c>
      <c r="Q50" t="s">
        <v>774</v>
      </c>
      <c r="R50" t="s">
        <v>775</v>
      </c>
      <c r="S50" t="s">
        <v>776</v>
      </c>
      <c r="T50" t="s">
        <v>777</v>
      </c>
      <c r="U50" t="s">
        <v>778</v>
      </c>
      <c r="V50" t="s">
        <v>779</v>
      </c>
      <c r="W50" t="s">
        <v>780</v>
      </c>
      <c r="X50" t="s">
        <v>781</v>
      </c>
      <c r="Y50" t="s">
        <v>782</v>
      </c>
      <c r="Z50" t="s">
        <v>783</v>
      </c>
      <c r="AA50" s="3">
        <v>-127704505205617</v>
      </c>
      <c r="AB50" s="3">
        <v>-107363546287886</v>
      </c>
      <c r="AC50" s="3">
        <v>-22675467824874</v>
      </c>
      <c r="AD50" t="s">
        <v>784</v>
      </c>
      <c r="AE50" s="3">
        <v>-125209020594953</v>
      </c>
      <c r="AF50" s="3">
        <v>-105020054915926</v>
      </c>
      <c r="AG50" s="3">
        <v>-223375735816285</v>
      </c>
    </row>
    <row r="51" spans="1:33" x14ac:dyDescent="0.25">
      <c r="A51" t="s">
        <v>785</v>
      </c>
      <c r="B51" t="s">
        <v>786</v>
      </c>
      <c r="C51" t="s">
        <v>787</v>
      </c>
      <c r="D51" t="s">
        <v>788</v>
      </c>
      <c r="E51" t="s">
        <v>789</v>
      </c>
      <c r="F51" t="s">
        <v>790</v>
      </c>
      <c r="G51" s="3">
        <v>-149639869615356</v>
      </c>
      <c r="H51" s="3">
        <v>-125806410234742</v>
      </c>
      <c r="I51" s="3">
        <v>-203538104729312</v>
      </c>
      <c r="J51" t="s">
        <v>791</v>
      </c>
      <c r="K51" t="s">
        <v>792</v>
      </c>
      <c r="L51" t="s">
        <v>793</v>
      </c>
      <c r="M51" t="s">
        <v>794</v>
      </c>
      <c r="N51" t="s">
        <v>795</v>
      </c>
      <c r="O51" t="s">
        <v>796</v>
      </c>
      <c r="P51" t="s">
        <v>797</v>
      </c>
      <c r="Q51" t="s">
        <v>798</v>
      </c>
      <c r="R51" t="s">
        <v>799</v>
      </c>
      <c r="S51" t="s">
        <v>800</v>
      </c>
      <c r="T51" t="s">
        <v>801</v>
      </c>
      <c r="U51" t="s">
        <v>802</v>
      </c>
      <c r="V51" t="s">
        <v>803</v>
      </c>
      <c r="W51" t="s">
        <v>804</v>
      </c>
      <c r="X51" t="s">
        <v>805</v>
      </c>
      <c r="Y51" t="s">
        <v>806</v>
      </c>
      <c r="Z51" t="s">
        <v>807</v>
      </c>
      <c r="AA51" s="3">
        <v>-150750805377708</v>
      </c>
      <c r="AB51" s="3">
        <v>-12682829949706</v>
      </c>
      <c r="AC51" s="3">
        <v>-204878535973185</v>
      </c>
      <c r="AD51" t="s">
        <v>808</v>
      </c>
      <c r="AE51" s="3">
        <v>-148528933853004</v>
      </c>
      <c r="AF51" s="3">
        <v>-124784520972423</v>
      </c>
      <c r="AG51" s="3">
        <v>-202197673485439</v>
      </c>
    </row>
    <row r="52" spans="1:33" x14ac:dyDescent="0.25">
      <c r="A52" t="s">
        <v>809</v>
      </c>
      <c r="B52" t="s">
        <v>810</v>
      </c>
      <c r="C52" t="s">
        <v>811</v>
      </c>
      <c r="D52" t="s">
        <v>812</v>
      </c>
      <c r="E52" t="s">
        <v>813</v>
      </c>
      <c r="F52" s="3">
        <v>111657311507336</v>
      </c>
      <c r="G52" s="3">
        <v>-299625671044467</v>
      </c>
      <c r="H52" s="3">
        <v>-231927129708021</v>
      </c>
      <c r="I52" s="3">
        <v>-209572757448904</v>
      </c>
      <c r="J52" t="s">
        <v>814</v>
      </c>
      <c r="K52" t="s">
        <v>815</v>
      </c>
      <c r="L52" t="s">
        <v>816</v>
      </c>
      <c r="M52" t="s">
        <v>817</v>
      </c>
      <c r="N52" t="s">
        <v>818</v>
      </c>
      <c r="O52" t="s">
        <v>819</v>
      </c>
      <c r="P52" t="s">
        <v>820</v>
      </c>
      <c r="Q52" t="s">
        <v>821</v>
      </c>
      <c r="R52" t="s">
        <v>822</v>
      </c>
      <c r="S52" t="s">
        <v>823</v>
      </c>
      <c r="T52" t="s">
        <v>824</v>
      </c>
      <c r="U52" t="s">
        <v>825</v>
      </c>
      <c r="V52" t="s">
        <v>826</v>
      </c>
      <c r="W52" t="s">
        <v>827</v>
      </c>
      <c r="X52" t="s">
        <v>828</v>
      </c>
      <c r="Y52" t="s">
        <v>829</v>
      </c>
      <c r="Z52" s="3">
        <v>109743408583928</v>
      </c>
      <c r="AA52" s="3">
        <v>-302921224411837</v>
      </c>
      <c r="AB52" s="3">
        <v>-234871302664261</v>
      </c>
      <c r="AC52" s="3">
        <v>-212096741921786</v>
      </c>
      <c r="AD52" s="3">
        <v>113571214430743</v>
      </c>
      <c r="AE52" s="3">
        <v>-296330117677098</v>
      </c>
      <c r="AF52" s="3">
        <v>-228982956751782</v>
      </c>
      <c r="AG52" s="3">
        <v>-207048772976023</v>
      </c>
    </row>
    <row r="53" spans="1:33" x14ac:dyDescent="0.25">
      <c r="A53" t="s">
        <v>830</v>
      </c>
      <c r="B53" t="s">
        <v>831</v>
      </c>
      <c r="C53" t="s">
        <v>832</v>
      </c>
      <c r="D53" t="s">
        <v>833</v>
      </c>
      <c r="E53" t="s">
        <v>834</v>
      </c>
      <c r="F53" s="3">
        <v>-12695235144812</v>
      </c>
      <c r="G53" t="s">
        <v>835</v>
      </c>
      <c r="H53" s="3">
        <v>-116839634618114</v>
      </c>
      <c r="I53" s="3">
        <v>-1707801056102</v>
      </c>
      <c r="J53" t="s">
        <v>836</v>
      </c>
      <c r="K53" t="s">
        <v>837</v>
      </c>
      <c r="L53" t="s">
        <v>838</v>
      </c>
      <c r="M53" t="s">
        <v>839</v>
      </c>
      <c r="N53" t="s">
        <v>840</v>
      </c>
      <c r="O53" t="s">
        <v>841</v>
      </c>
      <c r="P53" t="s">
        <v>842</v>
      </c>
      <c r="Q53" t="s">
        <v>843</v>
      </c>
      <c r="R53" t="s">
        <v>844</v>
      </c>
      <c r="S53" t="s">
        <v>845</v>
      </c>
      <c r="T53" t="s">
        <v>846</v>
      </c>
      <c r="U53" t="s">
        <v>847</v>
      </c>
      <c r="V53" t="s">
        <v>848</v>
      </c>
      <c r="W53" t="s">
        <v>849</v>
      </c>
      <c r="X53" t="s">
        <v>850</v>
      </c>
      <c r="Y53" t="s">
        <v>851</v>
      </c>
      <c r="Z53" s="3">
        <v>-141376008478271</v>
      </c>
      <c r="AA53" t="s">
        <v>852</v>
      </c>
      <c r="AB53" s="3">
        <v>-131229146538217</v>
      </c>
      <c r="AC53" s="3">
        <v>-186702084243171</v>
      </c>
      <c r="AD53" s="3">
        <v>-112528694417969</v>
      </c>
      <c r="AE53" t="s">
        <v>853</v>
      </c>
      <c r="AF53" s="3">
        <v>-10245012269801</v>
      </c>
      <c r="AG53" s="3">
        <v>-154858126977229</v>
      </c>
    </row>
    <row r="56" spans="1:33" x14ac:dyDescent="0.25">
      <c r="A56" t="s">
        <v>854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t="s">
        <v>20</v>
      </c>
      <c r="J56" t="s">
        <v>21</v>
      </c>
      <c r="K56" t="s">
        <v>22</v>
      </c>
      <c r="L56" t="s">
        <v>23</v>
      </c>
      <c r="M56" t="s">
        <v>24</v>
      </c>
      <c r="N56" t="s">
        <v>25</v>
      </c>
      <c r="O56" t="s">
        <v>26</v>
      </c>
      <c r="P56" t="s">
        <v>27</v>
      </c>
      <c r="Q56" t="s">
        <v>28</v>
      </c>
      <c r="R56" t="s">
        <v>29</v>
      </c>
      <c r="S56" t="s">
        <v>30</v>
      </c>
      <c r="T56" t="s">
        <v>31</v>
      </c>
      <c r="U56" t="s">
        <v>32</v>
      </c>
      <c r="V56" t="s">
        <v>33</v>
      </c>
      <c r="W56" t="s">
        <v>34</v>
      </c>
      <c r="X56" t="s">
        <v>35</v>
      </c>
      <c r="Y56" t="s">
        <v>36</v>
      </c>
      <c r="Z56" t="s">
        <v>37</v>
      </c>
      <c r="AA56" t="s">
        <v>38</v>
      </c>
      <c r="AB56" t="s">
        <v>39</v>
      </c>
      <c r="AC56" t="s">
        <v>40</v>
      </c>
      <c r="AD56" t="s">
        <v>41</v>
      </c>
      <c r="AE56" t="s">
        <v>42</v>
      </c>
      <c r="AF56" t="s">
        <v>43</v>
      </c>
      <c r="AG56" t="s">
        <v>44</v>
      </c>
    </row>
    <row r="57" spans="1:33" x14ac:dyDescent="0.25">
      <c r="A57" t="s">
        <v>855</v>
      </c>
      <c r="B57" t="s">
        <v>856</v>
      </c>
      <c r="C57" t="s">
        <v>857</v>
      </c>
      <c r="D57" t="s">
        <v>858</v>
      </c>
      <c r="E57" t="s">
        <v>859</v>
      </c>
      <c r="F57" t="s">
        <v>860</v>
      </c>
      <c r="G57" s="3">
        <v>-158258104134248</v>
      </c>
      <c r="H57" s="3">
        <v>-12221165170934</v>
      </c>
      <c r="I57" s="3">
        <v>-189572967044068</v>
      </c>
      <c r="J57" t="s">
        <v>861</v>
      </c>
      <c r="K57" t="s">
        <v>862</v>
      </c>
      <c r="L57" t="s">
        <v>863</v>
      </c>
      <c r="M57" t="s">
        <v>864</v>
      </c>
      <c r="N57" t="s">
        <v>865</v>
      </c>
      <c r="O57" t="s">
        <v>866</v>
      </c>
      <c r="P57" t="s">
        <v>867</v>
      </c>
      <c r="Q57" t="s">
        <v>868</v>
      </c>
      <c r="R57" t="s">
        <v>869</v>
      </c>
      <c r="S57" t="s">
        <v>870</v>
      </c>
      <c r="T57" t="s">
        <v>871</v>
      </c>
      <c r="U57" t="s">
        <v>872</v>
      </c>
      <c r="V57" t="s">
        <v>873</v>
      </c>
      <c r="W57" t="s">
        <v>874</v>
      </c>
      <c r="X57" t="s">
        <v>875</v>
      </c>
      <c r="Y57" t="s">
        <v>876</v>
      </c>
      <c r="Z57" t="s">
        <v>877</v>
      </c>
      <c r="AA57" s="3">
        <v>-165626842866175</v>
      </c>
      <c r="AB57" s="3">
        <v>-127498662262323</v>
      </c>
      <c r="AC57" s="3">
        <v>-197419219123142</v>
      </c>
      <c r="AD57" t="s">
        <v>878</v>
      </c>
      <c r="AE57" s="3">
        <v>-150889365402321</v>
      </c>
      <c r="AF57" s="3">
        <v>-116924641156358</v>
      </c>
      <c r="AG57" s="3">
        <v>-181726714964994</v>
      </c>
    </row>
    <row r="58" spans="1:33" x14ac:dyDescent="0.25">
      <c r="A58" t="s">
        <v>879</v>
      </c>
      <c r="B58" t="s">
        <v>880</v>
      </c>
      <c r="C58" t="s">
        <v>881</v>
      </c>
      <c r="D58" t="s">
        <v>882</v>
      </c>
      <c r="E58" t="s">
        <v>883</v>
      </c>
      <c r="F58" t="s">
        <v>884</v>
      </c>
      <c r="G58" s="3">
        <v>-162305698861535</v>
      </c>
      <c r="H58" s="3">
        <v>-119450672275294</v>
      </c>
      <c r="I58" s="3">
        <v>-245802755119273</v>
      </c>
      <c r="J58" t="s">
        <v>885</v>
      </c>
      <c r="K58" t="s">
        <v>886</v>
      </c>
      <c r="L58" t="s">
        <v>887</v>
      </c>
      <c r="M58" t="s">
        <v>888</v>
      </c>
      <c r="N58" t="s">
        <v>889</v>
      </c>
      <c r="O58" t="s">
        <v>890</v>
      </c>
      <c r="P58" t="s">
        <v>891</v>
      </c>
      <c r="Q58" t="s">
        <v>892</v>
      </c>
      <c r="R58" t="s">
        <v>893</v>
      </c>
      <c r="S58" t="s">
        <v>894</v>
      </c>
      <c r="T58" t="s">
        <v>895</v>
      </c>
      <c r="U58" t="s">
        <v>896</v>
      </c>
      <c r="V58" t="s">
        <v>897</v>
      </c>
      <c r="W58" t="s">
        <v>898</v>
      </c>
      <c r="X58" t="s">
        <v>899</v>
      </c>
      <c r="Y58" t="s">
        <v>900</v>
      </c>
      <c r="Z58" t="s">
        <v>901</v>
      </c>
      <c r="AA58" s="3">
        <v>-164300044615758</v>
      </c>
      <c r="AB58" s="3">
        <v>-120910562568658</v>
      </c>
      <c r="AC58" s="3">
        <v>-248485818513111</v>
      </c>
      <c r="AD58" t="s">
        <v>902</v>
      </c>
      <c r="AE58" s="3">
        <v>-160311353107311</v>
      </c>
      <c r="AF58" s="3">
        <v>-11799078198193</v>
      </c>
      <c r="AG58" s="3">
        <v>-243119691725434</v>
      </c>
    </row>
    <row r="59" spans="1:33" x14ac:dyDescent="0.25">
      <c r="A59" t="s">
        <v>903</v>
      </c>
      <c r="B59" t="s">
        <v>904</v>
      </c>
      <c r="C59" t="s">
        <v>905</v>
      </c>
      <c r="D59" t="s">
        <v>906</v>
      </c>
      <c r="E59" t="s">
        <v>907</v>
      </c>
      <c r="F59" t="s">
        <v>908</v>
      </c>
      <c r="G59" s="3">
        <v>-119263136590149</v>
      </c>
      <c r="H59" s="3">
        <v>-128307307912649</v>
      </c>
      <c r="I59" s="3">
        <v>-209597554938424</v>
      </c>
      <c r="J59" t="s">
        <v>909</v>
      </c>
      <c r="K59" t="s">
        <v>910</v>
      </c>
      <c r="L59" t="s">
        <v>911</v>
      </c>
      <c r="M59" t="s">
        <v>912</v>
      </c>
      <c r="N59" t="s">
        <v>913</v>
      </c>
      <c r="O59" t="s">
        <v>914</v>
      </c>
      <c r="P59" t="s">
        <v>915</v>
      </c>
      <c r="Q59" t="s">
        <v>916</v>
      </c>
      <c r="R59" t="s">
        <v>917</v>
      </c>
      <c r="S59" t="s">
        <v>918</v>
      </c>
      <c r="T59" t="s">
        <v>919</v>
      </c>
      <c r="U59" t="s">
        <v>920</v>
      </c>
      <c r="V59" t="s">
        <v>921</v>
      </c>
      <c r="W59" t="s">
        <v>922</v>
      </c>
      <c r="X59" t="s">
        <v>923</v>
      </c>
      <c r="Y59" t="s">
        <v>924</v>
      </c>
      <c r="Z59" t="s">
        <v>925</v>
      </c>
      <c r="AA59" s="3">
        <v>-123512514552322</v>
      </c>
      <c r="AB59" s="3">
        <v>-131939538648592</v>
      </c>
      <c r="AC59" s="3">
        <v>-21517736836145</v>
      </c>
      <c r="AD59" t="s">
        <v>926</v>
      </c>
      <c r="AE59" s="3">
        <v>-115013758627976</v>
      </c>
      <c r="AF59" s="3">
        <v>-124675077176706</v>
      </c>
      <c r="AG59" s="3">
        <v>-204017741515397</v>
      </c>
    </row>
    <row r="60" spans="1:33" x14ac:dyDescent="0.25">
      <c r="A60" t="s">
        <v>927</v>
      </c>
      <c r="B60" t="s">
        <v>928</v>
      </c>
      <c r="C60" t="s">
        <v>929</v>
      </c>
      <c r="D60" t="s">
        <v>930</v>
      </c>
      <c r="E60" t="s">
        <v>931</v>
      </c>
      <c r="F60" t="s">
        <v>932</v>
      </c>
      <c r="G60" s="3">
        <v>-129430768372703</v>
      </c>
      <c r="H60" s="3">
        <v>-113210975955794</v>
      </c>
      <c r="I60" s="3">
        <v>-220255814097541</v>
      </c>
      <c r="J60" t="s">
        <v>933</v>
      </c>
      <c r="K60" t="s">
        <v>934</v>
      </c>
      <c r="L60" t="s">
        <v>935</v>
      </c>
      <c r="M60" t="s">
        <v>936</v>
      </c>
      <c r="N60" t="s">
        <v>937</v>
      </c>
      <c r="O60" t="s">
        <v>938</v>
      </c>
      <c r="P60" t="s">
        <v>939</v>
      </c>
      <c r="Q60" t="s">
        <v>940</v>
      </c>
      <c r="R60" t="s">
        <v>941</v>
      </c>
      <c r="S60" t="s">
        <v>942</v>
      </c>
      <c r="T60" t="s">
        <v>943</v>
      </c>
      <c r="U60" t="s">
        <v>944</v>
      </c>
      <c r="V60" t="s">
        <v>945</v>
      </c>
      <c r="W60" t="s">
        <v>946</v>
      </c>
      <c r="X60" t="s">
        <v>947</v>
      </c>
      <c r="Y60" t="s">
        <v>948</v>
      </c>
      <c r="Z60" t="s">
        <v>949</v>
      </c>
      <c r="AA60" s="3">
        <v>-131133941728054</v>
      </c>
      <c r="AB60" s="3">
        <v>-114555130628611</v>
      </c>
      <c r="AC60" s="3">
        <v>-222552408639573</v>
      </c>
      <c r="AD60" t="s">
        <v>950</v>
      </c>
      <c r="AE60" s="3">
        <v>-127727595017352</v>
      </c>
      <c r="AF60" s="3">
        <v>-111866821282976</v>
      </c>
      <c r="AG60" s="3">
        <v>-217959219555509</v>
      </c>
    </row>
    <row r="61" spans="1:33" x14ac:dyDescent="0.25">
      <c r="A61" t="s">
        <v>951</v>
      </c>
      <c r="B61" t="s">
        <v>952</v>
      </c>
      <c r="C61" t="s">
        <v>953</v>
      </c>
      <c r="D61" t="s">
        <v>954</v>
      </c>
      <c r="E61" t="s">
        <v>955</v>
      </c>
      <c r="F61" t="s">
        <v>956</v>
      </c>
      <c r="G61" s="3">
        <v>-116171766402729</v>
      </c>
      <c r="H61" t="s">
        <v>957</v>
      </c>
      <c r="I61" s="3">
        <v>-258055364412994</v>
      </c>
      <c r="J61" t="s">
        <v>958</v>
      </c>
      <c r="K61" t="s">
        <v>959</v>
      </c>
      <c r="L61" t="s">
        <v>960</v>
      </c>
      <c r="M61" t="s">
        <v>961</v>
      </c>
      <c r="N61" t="s">
        <v>962</v>
      </c>
      <c r="O61" t="s">
        <v>963</v>
      </c>
      <c r="P61" t="s">
        <v>964</v>
      </c>
      <c r="Q61" t="s">
        <v>965</v>
      </c>
      <c r="R61" t="s">
        <v>966</v>
      </c>
      <c r="S61" t="s">
        <v>967</v>
      </c>
      <c r="T61" t="s">
        <v>968</v>
      </c>
      <c r="U61" t="s">
        <v>969</v>
      </c>
      <c r="V61" t="s">
        <v>970</v>
      </c>
      <c r="W61" t="s">
        <v>971</v>
      </c>
      <c r="X61" t="s">
        <v>972</v>
      </c>
      <c r="Y61" t="s">
        <v>973</v>
      </c>
      <c r="Z61" t="s">
        <v>974</v>
      </c>
      <c r="AA61" s="3">
        <v>-127452441064051</v>
      </c>
      <c r="AB61" t="s">
        <v>975</v>
      </c>
      <c r="AC61" s="3">
        <v>-273774574548378</v>
      </c>
      <c r="AD61" t="s">
        <v>976</v>
      </c>
      <c r="AE61" s="3">
        <v>-104891091741406</v>
      </c>
      <c r="AF61" t="s">
        <v>977</v>
      </c>
      <c r="AG61" s="3">
        <v>-242336154277609</v>
      </c>
    </row>
    <row r="62" spans="1:33" x14ac:dyDescent="0.25">
      <c r="A62" t="s">
        <v>978</v>
      </c>
      <c r="B62" t="s">
        <v>979</v>
      </c>
      <c r="C62" t="s">
        <v>980</v>
      </c>
      <c r="D62" t="s">
        <v>981</v>
      </c>
      <c r="E62" t="s">
        <v>982</v>
      </c>
      <c r="F62" t="s">
        <v>983</v>
      </c>
      <c r="G62" s="3">
        <v>-126874048594579</v>
      </c>
      <c r="H62" s="3">
        <v>-133139307357227</v>
      </c>
      <c r="I62" s="3">
        <v>-194815812443994</v>
      </c>
      <c r="J62" t="s">
        <v>984</v>
      </c>
      <c r="K62" t="s">
        <v>985</v>
      </c>
      <c r="L62" t="s">
        <v>986</v>
      </c>
      <c r="M62" t="s">
        <v>987</v>
      </c>
      <c r="N62" t="s">
        <v>988</v>
      </c>
      <c r="O62" t="s">
        <v>989</v>
      </c>
      <c r="P62" t="s">
        <v>990</v>
      </c>
      <c r="Q62" t="s">
        <v>991</v>
      </c>
      <c r="R62" t="s">
        <v>992</v>
      </c>
      <c r="S62" t="s">
        <v>993</v>
      </c>
      <c r="T62" t="s">
        <v>994</v>
      </c>
      <c r="U62" t="s">
        <v>995</v>
      </c>
      <c r="V62" t="s">
        <v>996</v>
      </c>
      <c r="W62" t="s">
        <v>997</v>
      </c>
      <c r="X62" t="s">
        <v>998</v>
      </c>
      <c r="Y62" t="s">
        <v>999</v>
      </c>
      <c r="Z62" t="s">
        <v>1000</v>
      </c>
      <c r="AA62" s="3">
        <v>-128281542074601</v>
      </c>
      <c r="AB62" s="3">
        <v>-134310219992999</v>
      </c>
      <c r="AC62" s="3">
        <v>-196636795363671</v>
      </c>
      <c r="AD62" t="s">
        <v>1001</v>
      </c>
      <c r="AE62" s="3">
        <v>-125466555114557</v>
      </c>
      <c r="AF62" s="3">
        <v>-131968394721456</v>
      </c>
      <c r="AG62" s="3">
        <v>-192994829524316</v>
      </c>
    </row>
    <row r="63" spans="1:33" x14ac:dyDescent="0.25">
      <c r="A63" t="s">
        <v>1002</v>
      </c>
      <c r="B63" t="s">
        <v>1003</v>
      </c>
      <c r="C63" t="s">
        <v>1004</v>
      </c>
      <c r="D63" t="s">
        <v>1005</v>
      </c>
      <c r="E63" t="s">
        <v>1006</v>
      </c>
      <c r="F63" t="s">
        <v>1007</v>
      </c>
      <c r="G63" s="3">
        <v>-15623735791477</v>
      </c>
      <c r="H63" s="3">
        <v>-115351685997167</v>
      </c>
      <c r="I63" s="3">
        <v>-208978434844402</v>
      </c>
      <c r="J63" t="s">
        <v>1008</v>
      </c>
      <c r="K63" t="s">
        <v>1009</v>
      </c>
      <c r="L63" t="s">
        <v>1010</v>
      </c>
      <c r="M63" t="s">
        <v>1011</v>
      </c>
      <c r="N63" t="s">
        <v>1012</v>
      </c>
      <c r="O63" t="s">
        <v>1013</v>
      </c>
      <c r="P63" t="s">
        <v>1014</v>
      </c>
      <c r="Q63" t="s">
        <v>1015</v>
      </c>
      <c r="R63" t="s">
        <v>1016</v>
      </c>
      <c r="S63" t="s">
        <v>1017</v>
      </c>
      <c r="T63" t="s">
        <v>1018</v>
      </c>
      <c r="U63" t="s">
        <v>1019</v>
      </c>
      <c r="V63" t="s">
        <v>1020</v>
      </c>
      <c r="W63" t="s">
        <v>1021</v>
      </c>
      <c r="X63" t="s">
        <v>1022</v>
      </c>
      <c r="Y63" t="s">
        <v>1023</v>
      </c>
      <c r="Z63" t="s">
        <v>1024</v>
      </c>
      <c r="AA63" s="3">
        <v>-162089592796046</v>
      </c>
      <c r="AB63" s="3">
        <v>-119811928594407</v>
      </c>
      <c r="AC63" s="3">
        <v>-216536129595711</v>
      </c>
      <c r="AD63" t="s">
        <v>1025</v>
      </c>
      <c r="AE63" s="3">
        <v>-150385123033494</v>
      </c>
      <c r="AF63" s="3">
        <v>-110891443399926</v>
      </c>
      <c r="AG63" s="3">
        <v>-201420740093094</v>
      </c>
    </row>
    <row r="66" spans="1:33" x14ac:dyDescent="0.25">
      <c r="A66" t="s">
        <v>1026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t="s">
        <v>20</v>
      </c>
      <c r="J66" t="s">
        <v>21</v>
      </c>
      <c r="K66" t="s">
        <v>22</v>
      </c>
      <c r="L66" t="s">
        <v>23</v>
      </c>
      <c r="M66" t="s">
        <v>24</v>
      </c>
      <c r="N66" t="s">
        <v>25</v>
      </c>
      <c r="O66" t="s">
        <v>26</v>
      </c>
      <c r="P66" t="s">
        <v>27</v>
      </c>
      <c r="Q66" t="s">
        <v>28</v>
      </c>
      <c r="R66" t="s">
        <v>29</v>
      </c>
      <c r="S66" t="s">
        <v>30</v>
      </c>
      <c r="T66" t="s">
        <v>31</v>
      </c>
      <c r="U66" t="s">
        <v>32</v>
      </c>
      <c r="V66" t="s">
        <v>33</v>
      </c>
      <c r="W66" t="s">
        <v>34</v>
      </c>
      <c r="X66" t="s">
        <v>35</v>
      </c>
      <c r="Y66" t="s">
        <v>36</v>
      </c>
      <c r="Z66" t="s">
        <v>37</v>
      </c>
      <c r="AA66" t="s">
        <v>38</v>
      </c>
      <c r="AB66" t="s">
        <v>39</v>
      </c>
      <c r="AC66" t="s">
        <v>40</v>
      </c>
      <c r="AD66" t="s">
        <v>41</v>
      </c>
      <c r="AE66" t="s">
        <v>42</v>
      </c>
      <c r="AF66" t="s">
        <v>43</v>
      </c>
      <c r="AG66" t="s">
        <v>44</v>
      </c>
    </row>
    <row r="67" spans="1:33" x14ac:dyDescent="0.25">
      <c r="A67" t="s">
        <v>855</v>
      </c>
      <c r="B67" t="s">
        <v>1027</v>
      </c>
      <c r="C67" t="s">
        <v>1028</v>
      </c>
      <c r="D67" t="s">
        <v>1029</v>
      </c>
      <c r="E67" t="s">
        <v>1030</v>
      </c>
      <c r="F67" t="s">
        <v>1031</v>
      </c>
      <c r="G67" s="3">
        <v>-132444970213613</v>
      </c>
      <c r="H67" s="3">
        <v>-109183754839271</v>
      </c>
      <c r="I67" s="3">
        <v>-222819046332198</v>
      </c>
      <c r="J67" t="s">
        <v>1032</v>
      </c>
      <c r="K67" t="s">
        <v>1033</v>
      </c>
      <c r="L67" t="s">
        <v>1034</v>
      </c>
      <c r="M67" t="s">
        <v>1035</v>
      </c>
      <c r="N67" t="s">
        <v>1036</v>
      </c>
      <c r="O67" t="s">
        <v>1037</v>
      </c>
      <c r="P67" t="s">
        <v>1038</v>
      </c>
      <c r="Q67" t="s">
        <v>1039</v>
      </c>
      <c r="R67" t="s">
        <v>1040</v>
      </c>
      <c r="S67" t="s">
        <v>1041</v>
      </c>
      <c r="T67" t="s">
        <v>1042</v>
      </c>
      <c r="U67" t="s">
        <v>1043</v>
      </c>
      <c r="V67" t="s">
        <v>1044</v>
      </c>
      <c r="W67" t="s">
        <v>1045</v>
      </c>
      <c r="X67" t="s">
        <v>1046</v>
      </c>
      <c r="Y67" t="s">
        <v>1047</v>
      </c>
      <c r="Z67" t="s">
        <v>1048</v>
      </c>
      <c r="AA67" s="3">
        <v>-13973303942252</v>
      </c>
      <c r="AB67" s="3">
        <v>-114533713464845</v>
      </c>
      <c r="AC67" s="3">
        <v>-231303943707017</v>
      </c>
      <c r="AD67" t="s">
        <v>1049</v>
      </c>
      <c r="AE67" s="3">
        <v>-125156901004705</v>
      </c>
      <c r="AF67" s="3">
        <v>-103833796213697</v>
      </c>
      <c r="AG67" s="3">
        <v>-21433414895738</v>
      </c>
    </row>
    <row r="68" spans="1:33" x14ac:dyDescent="0.25">
      <c r="A68" t="s">
        <v>879</v>
      </c>
      <c r="B68" t="s">
        <v>1050</v>
      </c>
      <c r="C68" t="s">
        <v>1051</v>
      </c>
      <c r="D68" t="s">
        <v>1052</v>
      </c>
      <c r="E68" t="s">
        <v>1053</v>
      </c>
      <c r="F68" t="s">
        <v>1054</v>
      </c>
      <c r="G68" s="3">
        <v>-142658307832349</v>
      </c>
      <c r="H68" s="3">
        <v>-115789034120375</v>
      </c>
      <c r="I68" s="3">
        <v>-223830094032267</v>
      </c>
      <c r="J68" t="s">
        <v>1055</v>
      </c>
      <c r="K68" t="s">
        <v>1056</v>
      </c>
      <c r="L68" t="s">
        <v>1057</v>
      </c>
      <c r="M68" t="s">
        <v>1058</v>
      </c>
      <c r="N68" t="s">
        <v>1059</v>
      </c>
      <c r="O68" t="s">
        <v>1060</v>
      </c>
      <c r="P68" t="s">
        <v>1061</v>
      </c>
      <c r="Q68" t="s">
        <v>1062</v>
      </c>
      <c r="R68" t="s">
        <v>1063</v>
      </c>
      <c r="S68" t="s">
        <v>1064</v>
      </c>
      <c r="T68" t="s">
        <v>1065</v>
      </c>
      <c r="U68" t="s">
        <v>1066</v>
      </c>
      <c r="V68" t="s">
        <v>1067</v>
      </c>
      <c r="W68" t="s">
        <v>1068</v>
      </c>
      <c r="X68" t="s">
        <v>1069</v>
      </c>
      <c r="Y68" t="s">
        <v>1070</v>
      </c>
      <c r="Z68" t="s">
        <v>1071</v>
      </c>
      <c r="AA68" s="3">
        <v>-14451133721906</v>
      </c>
      <c r="AB68" s="3">
        <v>-117188420233618</v>
      </c>
      <c r="AC68" s="3">
        <v>-226312314135248</v>
      </c>
      <c r="AD68" t="s">
        <v>1072</v>
      </c>
      <c r="AE68" s="3">
        <v>-140805278445638</v>
      </c>
      <c r="AF68" s="3">
        <v>-114389648007133</v>
      </c>
      <c r="AG68" s="3">
        <v>-221347873929286</v>
      </c>
    </row>
    <row r="69" spans="1:33" x14ac:dyDescent="0.25">
      <c r="A69" t="s">
        <v>903</v>
      </c>
      <c r="B69" t="s">
        <v>1073</v>
      </c>
      <c r="C69" t="s">
        <v>1074</v>
      </c>
      <c r="D69" t="s">
        <v>1075</v>
      </c>
      <c r="E69" t="s">
        <v>1076</v>
      </c>
      <c r="F69" t="s">
        <v>1077</v>
      </c>
      <c r="G69" t="s">
        <v>1078</v>
      </c>
      <c r="H69" s="3">
        <v>-154302199881744</v>
      </c>
      <c r="I69" s="3">
        <v>-165930856026021</v>
      </c>
      <c r="J69" t="s">
        <v>1079</v>
      </c>
      <c r="K69" t="s">
        <v>1080</v>
      </c>
      <c r="L69" t="s">
        <v>1081</v>
      </c>
      <c r="M69" t="s">
        <v>1082</v>
      </c>
      <c r="N69" t="s">
        <v>1083</v>
      </c>
      <c r="O69" t="s">
        <v>1084</v>
      </c>
      <c r="P69" t="s">
        <v>1085</v>
      </c>
      <c r="Q69" t="s">
        <v>1086</v>
      </c>
      <c r="R69" t="s">
        <v>1087</v>
      </c>
      <c r="S69" t="s">
        <v>1088</v>
      </c>
      <c r="T69" t="s">
        <v>1089</v>
      </c>
      <c r="U69" t="s">
        <v>1090</v>
      </c>
      <c r="V69" t="s">
        <v>1091</v>
      </c>
      <c r="W69" t="s">
        <v>1092</v>
      </c>
      <c r="X69" t="s">
        <v>1093</v>
      </c>
      <c r="Y69" t="s">
        <v>1094</v>
      </c>
      <c r="Z69" t="s">
        <v>1095</v>
      </c>
      <c r="AA69" s="3">
        <v>-101513521087169</v>
      </c>
      <c r="AB69" s="3">
        <v>-158301022762389</v>
      </c>
      <c r="AC69" s="3">
        <v>-171331354579544</v>
      </c>
      <c r="AD69" t="s">
        <v>1096</v>
      </c>
      <c r="AE69" t="s">
        <v>1097</v>
      </c>
      <c r="AF69" s="3">
        <v>-150303377001099</v>
      </c>
      <c r="AG69" s="3">
        <v>-160530357472498</v>
      </c>
    </row>
    <row r="70" spans="1:33" x14ac:dyDescent="0.25">
      <c r="A70" t="s">
        <v>927</v>
      </c>
      <c r="B70" t="s">
        <v>1098</v>
      </c>
      <c r="C70" t="s">
        <v>1099</v>
      </c>
      <c r="D70" t="s">
        <v>1100</v>
      </c>
      <c r="E70" t="s">
        <v>1101</v>
      </c>
      <c r="F70" t="s">
        <v>1102</v>
      </c>
      <c r="G70" s="3">
        <v>-117493035670157</v>
      </c>
      <c r="H70" s="3">
        <v>-125112932944173</v>
      </c>
      <c r="I70" s="3">
        <v>-210606340575607</v>
      </c>
      <c r="J70" t="s">
        <v>1103</v>
      </c>
      <c r="K70" t="s">
        <v>1104</v>
      </c>
      <c r="L70" t="s">
        <v>1105</v>
      </c>
      <c r="M70" t="s">
        <v>1106</v>
      </c>
      <c r="N70" t="s">
        <v>1107</v>
      </c>
      <c r="O70" t="s">
        <v>1108</v>
      </c>
      <c r="P70" t="s">
        <v>1109</v>
      </c>
      <c r="Q70" t="s">
        <v>1110</v>
      </c>
      <c r="R70" t="s">
        <v>1111</v>
      </c>
      <c r="S70" t="s">
        <v>1112</v>
      </c>
      <c r="T70" t="s">
        <v>1113</v>
      </c>
      <c r="U70" t="s">
        <v>1114</v>
      </c>
      <c r="V70" t="s">
        <v>1115</v>
      </c>
      <c r="W70" t="s">
        <v>1116</v>
      </c>
      <c r="X70" t="s">
        <v>1117</v>
      </c>
      <c r="Y70" t="s">
        <v>1118</v>
      </c>
      <c r="Z70" t="s">
        <v>1119</v>
      </c>
      <c r="AA70" s="3">
        <v>-11912830172319</v>
      </c>
      <c r="AB70" s="3">
        <v>-126440366764029</v>
      </c>
      <c r="AC70" s="3">
        <v>-212805909952511</v>
      </c>
      <c r="AD70" t="s">
        <v>1120</v>
      </c>
      <c r="AE70" s="3">
        <v>-115857769617124</v>
      </c>
      <c r="AF70" s="3">
        <v>-123785499124317</v>
      </c>
      <c r="AG70" s="3">
        <v>-208406771198704</v>
      </c>
    </row>
    <row r="71" spans="1:33" x14ac:dyDescent="0.25">
      <c r="A71" t="s">
        <v>951</v>
      </c>
      <c r="B71" t="s">
        <v>1121</v>
      </c>
      <c r="C71" t="s">
        <v>1122</v>
      </c>
      <c r="D71" t="s">
        <v>1123</v>
      </c>
      <c r="E71" t="s">
        <v>1124</v>
      </c>
      <c r="F71" t="s">
        <v>1125</v>
      </c>
      <c r="G71" s="3">
        <v>-153880557163586</v>
      </c>
      <c r="H71" t="s">
        <v>1126</v>
      </c>
      <c r="I71" s="3">
        <v>-284624656609707</v>
      </c>
      <c r="J71" t="s">
        <v>1127</v>
      </c>
      <c r="K71" t="s">
        <v>1128</v>
      </c>
      <c r="L71" t="s">
        <v>1129</v>
      </c>
      <c r="M71" t="s">
        <v>1130</v>
      </c>
      <c r="N71" t="s">
        <v>1131</v>
      </c>
      <c r="O71" t="s">
        <v>1132</v>
      </c>
      <c r="P71" t="s">
        <v>1133</v>
      </c>
      <c r="Q71" t="s">
        <v>1134</v>
      </c>
      <c r="R71" t="s">
        <v>1135</v>
      </c>
      <c r="S71" t="s">
        <v>1136</v>
      </c>
      <c r="T71" t="s">
        <v>1137</v>
      </c>
      <c r="U71" t="s">
        <v>1138</v>
      </c>
      <c r="V71" t="s">
        <v>1139</v>
      </c>
      <c r="W71" t="s">
        <v>1140</v>
      </c>
      <c r="X71" t="s">
        <v>1141</v>
      </c>
      <c r="Y71" t="s">
        <v>1142</v>
      </c>
      <c r="Z71" t="s">
        <v>1143</v>
      </c>
      <c r="AA71" s="3">
        <v>-164831820718061</v>
      </c>
      <c r="AB71" s="3">
        <v>-102069801412369</v>
      </c>
      <c r="AC71" s="3">
        <v>-299732161279972</v>
      </c>
      <c r="AD71" t="s">
        <v>1144</v>
      </c>
      <c r="AE71" s="3">
        <v>-142929293609111</v>
      </c>
      <c r="AF71" t="s">
        <v>1145</v>
      </c>
      <c r="AG71" s="3">
        <v>-269517151939441</v>
      </c>
    </row>
    <row r="72" spans="1:33" x14ac:dyDescent="0.25">
      <c r="A72" t="s">
        <v>978</v>
      </c>
      <c r="B72" t="s">
        <v>1146</v>
      </c>
      <c r="C72" t="s">
        <v>1147</v>
      </c>
      <c r="D72" t="s">
        <v>1148</v>
      </c>
      <c r="E72" t="s">
        <v>1149</v>
      </c>
      <c r="F72" t="s">
        <v>1150</v>
      </c>
      <c r="G72" s="3">
        <v>-159025511774691</v>
      </c>
      <c r="H72" s="3">
        <v>-125585024192448</v>
      </c>
      <c r="I72" s="3">
        <v>-217571721568537</v>
      </c>
      <c r="J72" t="s">
        <v>1151</v>
      </c>
      <c r="K72" t="s">
        <v>1152</v>
      </c>
      <c r="L72" t="s">
        <v>1153</v>
      </c>
      <c r="M72" t="s">
        <v>1154</v>
      </c>
      <c r="N72" t="s">
        <v>1155</v>
      </c>
      <c r="O72" t="s">
        <v>1156</v>
      </c>
      <c r="P72" t="s">
        <v>1157</v>
      </c>
      <c r="Q72" t="s">
        <v>1158</v>
      </c>
      <c r="R72" t="s">
        <v>1159</v>
      </c>
      <c r="S72" t="s">
        <v>1160</v>
      </c>
      <c r="T72" t="s">
        <v>1161</v>
      </c>
      <c r="U72" t="s">
        <v>1162</v>
      </c>
      <c r="V72" t="s">
        <v>1163</v>
      </c>
      <c r="W72" t="s">
        <v>1164</v>
      </c>
      <c r="X72" t="s">
        <v>1165</v>
      </c>
      <c r="Y72" t="s">
        <v>1166</v>
      </c>
      <c r="Z72" t="s">
        <v>1167</v>
      </c>
      <c r="AA72" s="3">
        <v>-160649879278677</v>
      </c>
      <c r="AB72" s="3">
        <v>-126835044251118</v>
      </c>
      <c r="AC72" s="3">
        <v>-219654115973441</v>
      </c>
      <c r="AD72" t="s">
        <v>1168</v>
      </c>
      <c r="AE72" s="3">
        <v>-157401144270705</v>
      </c>
      <c r="AF72" s="3">
        <v>-124335004133778</v>
      </c>
      <c r="AG72" s="3">
        <v>-215489327163633</v>
      </c>
    </row>
    <row r="73" spans="1:33" x14ac:dyDescent="0.25">
      <c r="A73" t="s">
        <v>1002</v>
      </c>
      <c r="B73" t="s">
        <v>1169</v>
      </c>
      <c r="C73" t="s">
        <v>1170</v>
      </c>
      <c r="D73" t="s">
        <v>1171</v>
      </c>
      <c r="E73" t="s">
        <v>1172</v>
      </c>
      <c r="F73" t="s">
        <v>1173</v>
      </c>
      <c r="G73" t="s">
        <v>1174</v>
      </c>
      <c r="H73" s="3">
        <v>-111648240381772</v>
      </c>
      <c r="I73" s="3">
        <v>-23002707849972</v>
      </c>
      <c r="J73" t="s">
        <v>1175</v>
      </c>
      <c r="K73" t="s">
        <v>1176</v>
      </c>
      <c r="L73" t="s">
        <v>1177</v>
      </c>
      <c r="M73" t="s">
        <v>1178</v>
      </c>
      <c r="N73" t="s">
        <v>1179</v>
      </c>
      <c r="O73" t="s">
        <v>1180</v>
      </c>
      <c r="P73" t="s">
        <v>1181</v>
      </c>
      <c r="Q73" t="s">
        <v>1182</v>
      </c>
      <c r="R73" t="s">
        <v>1183</v>
      </c>
      <c r="S73" t="s">
        <v>1184</v>
      </c>
      <c r="T73" t="s">
        <v>1185</v>
      </c>
      <c r="U73" t="s">
        <v>1186</v>
      </c>
      <c r="V73" t="s">
        <v>1187</v>
      </c>
      <c r="W73" t="s">
        <v>1188</v>
      </c>
      <c r="X73" t="s">
        <v>1189</v>
      </c>
      <c r="Y73" t="s">
        <v>1190</v>
      </c>
      <c r="Z73" t="s">
        <v>1191</v>
      </c>
      <c r="AA73" s="3">
        <v>-100644323201485</v>
      </c>
      <c r="AB73" s="3">
        <v>-115987726219001</v>
      </c>
      <c r="AC73" s="3">
        <v>-237600437295586</v>
      </c>
      <c r="AD73" t="s">
        <v>1192</v>
      </c>
      <c r="AE73" t="s">
        <v>1193</v>
      </c>
      <c r="AF73" s="3">
        <v>-107308754544542</v>
      </c>
      <c r="AG73" s="3">
        <v>-222453719703854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929F-7AF3-4490-93AC-2612CF325366}">
  <dimension ref="A2:AG99"/>
  <sheetViews>
    <sheetView tabSelected="1" topLeftCell="A28" workbookViewId="0">
      <selection activeCell="E39" sqref="E39"/>
    </sheetView>
  </sheetViews>
  <sheetFormatPr defaultRowHeight="15" x14ac:dyDescent="0.25"/>
  <cols>
    <col min="1" max="1" width="21.140625" customWidth="1"/>
    <col min="3" max="3" width="10.85546875" customWidth="1"/>
  </cols>
  <sheetData>
    <row r="2" spans="1:33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Z2" t="s">
        <v>37</v>
      </c>
      <c r="AA2" t="s">
        <v>38</v>
      </c>
      <c r="AB2" t="s">
        <v>39</v>
      </c>
      <c r="AC2" t="s">
        <v>40</v>
      </c>
      <c r="AD2" t="s">
        <v>41</v>
      </c>
      <c r="AE2" t="s">
        <v>42</v>
      </c>
      <c r="AF2" t="s">
        <v>43</v>
      </c>
      <c r="AG2" t="s">
        <v>44</v>
      </c>
    </row>
    <row r="3" spans="1:33" x14ac:dyDescent="0.25">
      <c r="A3" t="s">
        <v>4</v>
      </c>
      <c r="B3" t="s">
        <v>121</v>
      </c>
      <c r="C3" t="s">
        <v>122</v>
      </c>
      <c r="D3" t="s">
        <v>123</v>
      </c>
      <c r="E3" t="s">
        <v>124</v>
      </c>
      <c r="F3" t="s">
        <v>125</v>
      </c>
      <c r="G3" s="3">
        <v>-20605433999929</v>
      </c>
      <c r="H3" s="3">
        <v>-209188446583831</v>
      </c>
      <c r="I3" t="s">
        <v>126</v>
      </c>
      <c r="J3" t="s">
        <v>127</v>
      </c>
      <c r="K3" t="s">
        <v>128</v>
      </c>
      <c r="L3" t="s">
        <v>129</v>
      </c>
      <c r="M3" t="s">
        <v>130</v>
      </c>
      <c r="N3" t="s">
        <v>131</v>
      </c>
      <c r="O3" t="s">
        <v>132</v>
      </c>
      <c r="P3" t="s">
        <v>133</v>
      </c>
      <c r="Q3" t="s">
        <v>134</v>
      </c>
      <c r="R3" t="s">
        <v>135</v>
      </c>
      <c r="S3" t="s">
        <v>136</v>
      </c>
      <c r="T3" t="s">
        <v>137</v>
      </c>
      <c r="U3" t="s">
        <v>138</v>
      </c>
      <c r="V3" t="s">
        <v>139</v>
      </c>
      <c r="W3" t="s">
        <v>140</v>
      </c>
      <c r="X3" t="s">
        <v>141</v>
      </c>
      <c r="Y3" t="s">
        <v>142</v>
      </c>
      <c r="Z3" t="s">
        <v>143</v>
      </c>
      <c r="AA3" s="3">
        <v>-209035428274644</v>
      </c>
      <c r="AB3" s="3">
        <v>-212261303431958</v>
      </c>
      <c r="AC3" t="s">
        <v>144</v>
      </c>
      <c r="AD3" t="s">
        <v>145</v>
      </c>
      <c r="AE3" s="3">
        <v>-203073251723936</v>
      </c>
      <c r="AF3" s="3">
        <v>-206115589735703</v>
      </c>
      <c r="AG3" t="s">
        <v>146</v>
      </c>
    </row>
    <row r="4" spans="1:33" x14ac:dyDescent="0.25">
      <c r="A4" t="s">
        <v>5</v>
      </c>
      <c r="B4" t="s">
        <v>147</v>
      </c>
      <c r="C4" t="s">
        <v>148</v>
      </c>
      <c r="D4" t="s">
        <v>149</v>
      </c>
      <c r="E4" t="s">
        <v>150</v>
      </c>
      <c r="F4" t="s">
        <v>151</v>
      </c>
      <c r="G4" s="3">
        <v>-109596693497639</v>
      </c>
      <c r="H4" s="3">
        <v>-132715651370312</v>
      </c>
      <c r="I4" s="3">
        <v>-150196396875881</v>
      </c>
      <c r="J4" t="s">
        <v>152</v>
      </c>
      <c r="K4" t="s">
        <v>153</v>
      </c>
      <c r="L4" t="s">
        <v>154</v>
      </c>
      <c r="M4" t="s">
        <v>155</v>
      </c>
      <c r="N4" t="s">
        <v>156</v>
      </c>
      <c r="O4" t="s">
        <v>157</v>
      </c>
      <c r="P4" t="s">
        <v>158</v>
      </c>
      <c r="Q4" t="s">
        <v>159</v>
      </c>
      <c r="R4" t="s">
        <v>160</v>
      </c>
      <c r="S4" t="s">
        <v>161</v>
      </c>
      <c r="T4" t="s">
        <v>162</v>
      </c>
      <c r="U4" t="s">
        <v>163</v>
      </c>
      <c r="V4" t="s">
        <v>164</v>
      </c>
      <c r="W4" t="s">
        <v>165</v>
      </c>
      <c r="X4" t="s">
        <v>166</v>
      </c>
      <c r="Y4" t="s">
        <v>167</v>
      </c>
      <c r="Z4" t="s">
        <v>168</v>
      </c>
      <c r="AA4" s="3">
        <v>-111876403751809</v>
      </c>
      <c r="AB4" s="3">
        <v>-135059421626697</v>
      </c>
      <c r="AC4" s="3">
        <v>-152683444872874</v>
      </c>
      <c r="AD4" t="s">
        <v>169</v>
      </c>
      <c r="AE4" s="3">
        <v>-10731698324347</v>
      </c>
      <c r="AF4" s="3">
        <v>-130371881113927</v>
      </c>
      <c r="AG4" s="3">
        <v>-147709348878887</v>
      </c>
    </row>
    <row r="5" spans="1:33" x14ac:dyDescent="0.25">
      <c r="A5" t="s">
        <v>6</v>
      </c>
      <c r="B5" t="s">
        <v>170</v>
      </c>
      <c r="C5" t="s">
        <v>171</v>
      </c>
      <c r="D5" t="s">
        <v>172</v>
      </c>
      <c r="E5" t="s">
        <v>173</v>
      </c>
      <c r="F5" s="3">
        <v>-131027001487453</v>
      </c>
      <c r="G5" t="s">
        <v>174</v>
      </c>
      <c r="H5" t="s">
        <v>175</v>
      </c>
      <c r="I5" s="3">
        <v>-238664079548517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s="3">
        <v>-133556369023418</v>
      </c>
      <c r="AA5" t="s">
        <v>192</v>
      </c>
      <c r="AB5" t="s">
        <v>193</v>
      </c>
      <c r="AC5" s="3">
        <v>-242113747794314</v>
      </c>
      <c r="AD5" s="3">
        <v>-128497633951487</v>
      </c>
      <c r="AE5" t="s">
        <v>194</v>
      </c>
      <c r="AF5" t="s">
        <v>195</v>
      </c>
      <c r="AG5" s="3">
        <v>-23521441130272</v>
      </c>
    </row>
    <row r="8" spans="1:33" x14ac:dyDescent="0.25">
      <c r="A8" t="s">
        <v>199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  <c r="M8" t="s">
        <v>24</v>
      </c>
      <c r="N8" t="s">
        <v>25</v>
      </c>
      <c r="O8" t="s">
        <v>26</v>
      </c>
      <c r="P8" t="s">
        <v>27</v>
      </c>
      <c r="Q8" t="s">
        <v>28</v>
      </c>
      <c r="R8" t="s">
        <v>29</v>
      </c>
      <c r="S8" t="s">
        <v>30</v>
      </c>
      <c r="T8" t="s">
        <v>31</v>
      </c>
      <c r="U8" t="s">
        <v>32</v>
      </c>
      <c r="V8" t="s">
        <v>33</v>
      </c>
      <c r="W8" t="s">
        <v>34</v>
      </c>
      <c r="X8" t="s">
        <v>35</v>
      </c>
      <c r="Y8" t="s">
        <v>36</v>
      </c>
      <c r="Z8" t="s">
        <v>37</v>
      </c>
      <c r="AA8" t="s">
        <v>38</v>
      </c>
      <c r="AB8" t="s">
        <v>39</v>
      </c>
      <c r="AC8" t="s">
        <v>40</v>
      </c>
      <c r="AD8" t="s">
        <v>41</v>
      </c>
      <c r="AE8" t="s">
        <v>42</v>
      </c>
      <c r="AF8" t="s">
        <v>43</v>
      </c>
      <c r="AG8" t="s">
        <v>44</v>
      </c>
    </row>
    <row r="9" spans="1:33" x14ac:dyDescent="0.25">
      <c r="A9" t="s">
        <v>200</v>
      </c>
      <c r="B9" t="s">
        <v>1194</v>
      </c>
      <c r="C9" t="s">
        <v>1195</v>
      </c>
      <c r="D9" t="s">
        <v>1196</v>
      </c>
      <c r="E9" t="s">
        <v>1197</v>
      </c>
      <c r="F9" t="s">
        <v>1198</v>
      </c>
      <c r="G9" s="3">
        <v>-111800289522202</v>
      </c>
      <c r="H9" s="3">
        <v>-129776570577071</v>
      </c>
      <c r="I9" s="3">
        <v>-152820778179098</v>
      </c>
      <c r="J9" t="s">
        <v>1199</v>
      </c>
      <c r="K9" t="s">
        <v>1200</v>
      </c>
      <c r="L9" t="s">
        <v>1201</v>
      </c>
      <c r="M9" t="s">
        <v>1202</v>
      </c>
      <c r="N9" t="s">
        <v>1203</v>
      </c>
      <c r="O9" t="s">
        <v>1204</v>
      </c>
      <c r="P9" t="s">
        <v>1205</v>
      </c>
      <c r="Q9" t="s">
        <v>1206</v>
      </c>
      <c r="R9" t="s">
        <v>1207</v>
      </c>
      <c r="S9" t="s">
        <v>1208</v>
      </c>
      <c r="T9" t="s">
        <v>1209</v>
      </c>
      <c r="U9" t="s">
        <v>1210</v>
      </c>
      <c r="V9" t="s">
        <v>1211</v>
      </c>
      <c r="W9" t="s">
        <v>1212</v>
      </c>
      <c r="X9" t="s">
        <v>1213</v>
      </c>
      <c r="Y9" t="s">
        <v>1214</v>
      </c>
      <c r="Z9" t="s">
        <v>1215</v>
      </c>
      <c r="AA9" s="3">
        <v>-11417608506652</v>
      </c>
      <c r="AB9" s="3">
        <v>-132219989618798</v>
      </c>
      <c r="AC9" s="3">
        <v>-15540081771653</v>
      </c>
      <c r="AD9" t="s">
        <v>1216</v>
      </c>
      <c r="AE9" s="3">
        <v>-109424493977883</v>
      </c>
      <c r="AF9" s="3">
        <v>-127333151535344</v>
      </c>
      <c r="AG9" s="3">
        <v>-150240738641666</v>
      </c>
    </row>
    <row r="10" spans="1:33" x14ac:dyDescent="0.25">
      <c r="A10" t="s">
        <v>224</v>
      </c>
      <c r="B10" t="s">
        <v>1217</v>
      </c>
      <c r="C10" t="s">
        <v>1218</v>
      </c>
      <c r="D10" t="s">
        <v>1219</v>
      </c>
      <c r="E10" t="s">
        <v>1220</v>
      </c>
      <c r="F10" t="s">
        <v>1221</v>
      </c>
      <c r="G10" s="3">
        <v>-115716559495821</v>
      </c>
      <c r="H10" s="3">
        <v>-133153228089604</v>
      </c>
      <c r="I10" s="3">
        <v>-149152904430329</v>
      </c>
      <c r="J10" t="s">
        <v>1222</v>
      </c>
      <c r="K10" t="s">
        <v>1223</v>
      </c>
      <c r="L10" t="s">
        <v>1224</v>
      </c>
      <c r="M10" t="s">
        <v>1225</v>
      </c>
      <c r="N10" t="s">
        <v>1226</v>
      </c>
      <c r="O10" t="s">
        <v>1227</v>
      </c>
      <c r="P10" t="s">
        <v>1228</v>
      </c>
      <c r="Q10" t="s">
        <v>1229</v>
      </c>
      <c r="R10" t="s">
        <v>1230</v>
      </c>
      <c r="S10" t="s">
        <v>1231</v>
      </c>
      <c r="T10" t="s">
        <v>1232</v>
      </c>
      <c r="U10" t="s">
        <v>1233</v>
      </c>
      <c r="V10" t="s">
        <v>1234</v>
      </c>
      <c r="W10" t="s">
        <v>1235</v>
      </c>
      <c r="X10" t="s">
        <v>1236</v>
      </c>
      <c r="Y10" t="s">
        <v>1237</v>
      </c>
      <c r="Z10" t="s">
        <v>1238</v>
      </c>
      <c r="AA10" s="3">
        <v>-117525970258283</v>
      </c>
      <c r="AB10" s="3">
        <v>-134986128670946</v>
      </c>
      <c r="AC10" s="3">
        <v>-151087291619558</v>
      </c>
      <c r="AD10" t="s">
        <v>1239</v>
      </c>
      <c r="AE10" s="3">
        <v>-113907148733358</v>
      </c>
      <c r="AF10" s="3">
        <v>-131320327508263</v>
      </c>
      <c r="AG10" s="3">
        <v>-1472185172411</v>
      </c>
    </row>
    <row r="13" spans="1:33" x14ac:dyDescent="0.25">
      <c r="A13" t="s">
        <v>248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  <c r="M13" t="s">
        <v>24</v>
      </c>
      <c r="N13" t="s">
        <v>25</v>
      </c>
      <c r="O13" t="s">
        <v>26</v>
      </c>
      <c r="P13" t="s">
        <v>27</v>
      </c>
      <c r="Q13" t="s">
        <v>28</v>
      </c>
      <c r="R13" t="s">
        <v>29</v>
      </c>
      <c r="S13" t="s">
        <v>30</v>
      </c>
      <c r="T13" t="s">
        <v>31</v>
      </c>
      <c r="U13" t="s">
        <v>32</v>
      </c>
      <c r="V13" t="s">
        <v>33</v>
      </c>
      <c r="W13" t="s">
        <v>34</v>
      </c>
      <c r="X13" t="s">
        <v>35</v>
      </c>
      <c r="Y13" t="s">
        <v>36</v>
      </c>
      <c r="Z13" t="s">
        <v>37</v>
      </c>
      <c r="AA13" t="s">
        <v>38</v>
      </c>
      <c r="AB13" t="s">
        <v>39</v>
      </c>
      <c r="AC13" t="s">
        <v>40</v>
      </c>
      <c r="AD13" t="s">
        <v>41</v>
      </c>
      <c r="AE13" t="s">
        <v>42</v>
      </c>
      <c r="AF13" t="s">
        <v>43</v>
      </c>
      <c r="AG13" t="s">
        <v>44</v>
      </c>
    </row>
    <row r="14" spans="1:33" x14ac:dyDescent="0.25">
      <c r="A14" t="s">
        <v>249</v>
      </c>
      <c r="B14" t="s">
        <v>1240</v>
      </c>
      <c r="C14" t="s">
        <v>1241</v>
      </c>
      <c r="D14" t="s">
        <v>1242</v>
      </c>
      <c r="E14" t="s">
        <v>1243</v>
      </c>
      <c r="F14" t="s">
        <v>1244</v>
      </c>
      <c r="G14" s="3">
        <v>-244033818213322</v>
      </c>
      <c r="H14" t="s">
        <v>1245</v>
      </c>
      <c r="I14" s="3">
        <v>-241455126609433</v>
      </c>
      <c r="J14" t="s">
        <v>1246</v>
      </c>
      <c r="K14" t="s">
        <v>1247</v>
      </c>
      <c r="L14" t="s">
        <v>1248</v>
      </c>
      <c r="M14" t="s">
        <v>1249</v>
      </c>
      <c r="N14" t="s">
        <v>1250</v>
      </c>
      <c r="O14" t="s">
        <v>1251</v>
      </c>
      <c r="P14" t="s">
        <v>1252</v>
      </c>
      <c r="Q14" t="s">
        <v>1253</v>
      </c>
      <c r="R14" t="s">
        <v>1254</v>
      </c>
      <c r="S14" t="s">
        <v>1255</v>
      </c>
      <c r="T14" t="s">
        <v>1256</v>
      </c>
      <c r="U14" t="s">
        <v>1257</v>
      </c>
      <c r="V14" t="s">
        <v>1258</v>
      </c>
      <c r="W14" t="s">
        <v>1259</v>
      </c>
      <c r="X14" t="s">
        <v>1260</v>
      </c>
      <c r="Y14" t="s">
        <v>1261</v>
      </c>
      <c r="Z14" t="s">
        <v>1262</v>
      </c>
      <c r="AA14" s="3">
        <v>-246802692606146</v>
      </c>
      <c r="AB14" s="3">
        <v>-101904315543605</v>
      </c>
      <c r="AC14" s="3">
        <v>-244280850973719</v>
      </c>
      <c r="AD14" t="s">
        <v>1263</v>
      </c>
      <c r="AE14" s="3">
        <v>-241264943820497</v>
      </c>
      <c r="AF14" t="s">
        <v>1264</v>
      </c>
      <c r="AG14" s="3">
        <v>-238629402245147</v>
      </c>
    </row>
    <row r="15" spans="1:33" x14ac:dyDescent="0.25">
      <c r="A15" t="s">
        <v>273</v>
      </c>
      <c r="B15" t="s">
        <v>1265</v>
      </c>
      <c r="C15" t="s">
        <v>1266</v>
      </c>
      <c r="D15" t="s">
        <v>1267</v>
      </c>
      <c r="E15" t="s">
        <v>1268</v>
      </c>
      <c r="F15" s="3">
        <v>-146669024376969</v>
      </c>
      <c r="G15" t="s">
        <v>1269</v>
      </c>
      <c r="H15" s="3">
        <v>-193013839942047</v>
      </c>
      <c r="I15" s="3">
        <v>-107911605926031</v>
      </c>
      <c r="J15" t="s">
        <v>1270</v>
      </c>
      <c r="K15" t="s">
        <v>1271</v>
      </c>
      <c r="L15" t="s">
        <v>1272</v>
      </c>
      <c r="M15" t="s">
        <v>1273</v>
      </c>
      <c r="N15" t="s">
        <v>1274</v>
      </c>
      <c r="O15" t="s">
        <v>1275</v>
      </c>
      <c r="P15" t="s">
        <v>1276</v>
      </c>
      <c r="Q15" t="s">
        <v>1277</v>
      </c>
      <c r="R15" t="s">
        <v>1278</v>
      </c>
      <c r="S15" t="s">
        <v>1279</v>
      </c>
      <c r="T15" t="s">
        <v>1280</v>
      </c>
      <c r="U15" t="s">
        <v>1281</v>
      </c>
      <c r="V15" t="s">
        <v>1282</v>
      </c>
      <c r="W15" t="s">
        <v>1283</v>
      </c>
      <c r="X15" t="s">
        <v>1284</v>
      </c>
      <c r="Y15" t="s">
        <v>1285</v>
      </c>
      <c r="Z15" s="3">
        <v>-148646987092957</v>
      </c>
      <c r="AA15" t="s">
        <v>1286</v>
      </c>
      <c r="AB15" s="3">
        <v>-195280711263511</v>
      </c>
      <c r="AC15" s="3">
        <v>-109763311722832</v>
      </c>
      <c r="AD15" s="3">
        <v>-14469106166098</v>
      </c>
      <c r="AE15" t="s">
        <v>1287</v>
      </c>
      <c r="AF15" s="3">
        <v>-190746968620582</v>
      </c>
      <c r="AG15" s="3">
        <v>-10605990012923</v>
      </c>
    </row>
    <row r="18" spans="1:33" x14ac:dyDescent="0.25">
      <c r="A18" t="s">
        <v>300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  <c r="L18" t="s">
        <v>23</v>
      </c>
      <c r="M18" t="s">
        <v>24</v>
      </c>
      <c r="N18" t="s">
        <v>25</v>
      </c>
      <c r="O18" t="s">
        <v>26</v>
      </c>
      <c r="P18" t="s">
        <v>27</v>
      </c>
      <c r="Q18" t="s">
        <v>28</v>
      </c>
      <c r="R18" t="s">
        <v>29</v>
      </c>
      <c r="S18" t="s">
        <v>30</v>
      </c>
      <c r="T18" t="s">
        <v>31</v>
      </c>
      <c r="U18" t="s">
        <v>32</v>
      </c>
      <c r="V18" t="s">
        <v>33</v>
      </c>
      <c r="W18" t="s">
        <v>34</v>
      </c>
      <c r="X18" t="s">
        <v>35</v>
      </c>
      <c r="Y18" t="s">
        <v>36</v>
      </c>
      <c r="Z18" t="s">
        <v>37</v>
      </c>
      <c r="AA18" t="s">
        <v>38</v>
      </c>
      <c r="AB18" t="s">
        <v>39</v>
      </c>
      <c r="AC18" t="s">
        <v>40</v>
      </c>
      <c r="AD18" t="s">
        <v>41</v>
      </c>
      <c r="AE18" t="s">
        <v>42</v>
      </c>
      <c r="AF18" t="s">
        <v>43</v>
      </c>
      <c r="AG18" t="s">
        <v>44</v>
      </c>
    </row>
    <row r="19" spans="1:33" x14ac:dyDescent="0.25">
      <c r="A19">
        <v>1</v>
      </c>
      <c r="B19" t="s">
        <v>1288</v>
      </c>
      <c r="C19" t="s">
        <v>1289</v>
      </c>
      <c r="D19" t="s">
        <v>1290</v>
      </c>
      <c r="E19" t="s">
        <v>1291</v>
      </c>
      <c r="F19" t="s">
        <v>1292</v>
      </c>
      <c r="G19" s="3">
        <v>-108803417967971</v>
      </c>
      <c r="H19" s="3">
        <v>-125475206903918</v>
      </c>
      <c r="I19" s="3">
        <v>-151678452467431</v>
      </c>
      <c r="J19" t="s">
        <v>1293</v>
      </c>
      <c r="K19" t="s">
        <v>1294</v>
      </c>
      <c r="L19" t="s">
        <v>1295</v>
      </c>
      <c r="M19" t="s">
        <v>1296</v>
      </c>
      <c r="N19" t="s">
        <v>1297</v>
      </c>
      <c r="O19" t="s">
        <v>1298</v>
      </c>
      <c r="P19" t="s">
        <v>1299</v>
      </c>
      <c r="Q19" t="s">
        <v>1300</v>
      </c>
      <c r="R19" t="s">
        <v>1301</v>
      </c>
      <c r="S19" t="s">
        <v>1302</v>
      </c>
      <c r="T19" t="s">
        <v>1303</v>
      </c>
      <c r="U19" t="s">
        <v>1304</v>
      </c>
      <c r="V19" t="s">
        <v>1305</v>
      </c>
      <c r="W19" t="s">
        <v>1306</v>
      </c>
      <c r="X19" t="s">
        <v>1307</v>
      </c>
      <c r="Y19" t="s">
        <v>1308</v>
      </c>
      <c r="Z19" t="s">
        <v>1309</v>
      </c>
      <c r="AA19" s="3">
        <v>-112735840264191</v>
      </c>
      <c r="AB19" s="3">
        <v>-129518169129402</v>
      </c>
      <c r="AC19" s="3">
        <v>-155920943875154</v>
      </c>
      <c r="AD19" t="s">
        <v>1310</v>
      </c>
      <c r="AE19" s="3">
        <v>-104870995671751</v>
      </c>
      <c r="AF19" s="3">
        <v>-121432244678435</v>
      </c>
      <c r="AG19" s="3">
        <v>-147435961059708</v>
      </c>
    </row>
    <row r="20" spans="1:33" x14ac:dyDescent="0.25">
      <c r="A20" s="4">
        <v>6</v>
      </c>
      <c r="B20" t="s">
        <v>1311</v>
      </c>
      <c r="C20" t="s">
        <v>1312</v>
      </c>
      <c r="D20" t="s">
        <v>1313</v>
      </c>
      <c r="E20" t="s">
        <v>1314</v>
      </c>
      <c r="F20" t="s">
        <v>1315</v>
      </c>
      <c r="G20" s="3">
        <v>-114755650447834</v>
      </c>
      <c r="H20" s="3">
        <v>-132427705897368</v>
      </c>
      <c r="I20" s="3">
        <v>-150295795807147</v>
      </c>
      <c r="J20" t="s">
        <v>1316</v>
      </c>
      <c r="K20" t="s">
        <v>1317</v>
      </c>
      <c r="L20" t="s">
        <v>1318</v>
      </c>
      <c r="M20" t="s">
        <v>1319</v>
      </c>
      <c r="N20" t="s">
        <v>1320</v>
      </c>
      <c r="O20" t="s">
        <v>1321</v>
      </c>
      <c r="P20" t="s">
        <v>1322</v>
      </c>
      <c r="Q20" t="s">
        <v>1323</v>
      </c>
      <c r="R20" t="s">
        <v>1324</v>
      </c>
      <c r="S20" t="s">
        <v>1325</v>
      </c>
      <c r="T20" t="s">
        <v>1326</v>
      </c>
      <c r="U20" t="s">
        <v>1327</v>
      </c>
      <c r="V20" t="s">
        <v>1328</v>
      </c>
      <c r="W20" t="s">
        <v>1329</v>
      </c>
      <c r="X20" t="s">
        <v>1330</v>
      </c>
      <c r="Y20" t="s">
        <v>1331</v>
      </c>
      <c r="Z20" t="s">
        <v>1332</v>
      </c>
      <c r="AA20" s="3">
        <v>-116328995998614</v>
      </c>
      <c r="AB20" s="3">
        <v>-134005943949552</v>
      </c>
      <c r="AC20" s="3">
        <v>-151986626626055</v>
      </c>
      <c r="AD20" t="s">
        <v>1333</v>
      </c>
      <c r="AE20" s="3">
        <v>-113182304897053</v>
      </c>
      <c r="AF20" s="3">
        <v>-130849467845184</v>
      </c>
      <c r="AG20" s="3">
        <v>-148604964988238</v>
      </c>
    </row>
    <row r="21" spans="1:33" x14ac:dyDescent="0.25">
      <c r="A21">
        <v>12</v>
      </c>
      <c r="B21" t="s">
        <v>1334</v>
      </c>
      <c r="C21" t="s">
        <v>1335</v>
      </c>
      <c r="D21" t="s">
        <v>1336</v>
      </c>
      <c r="E21" t="s">
        <v>1337</v>
      </c>
      <c r="F21" t="s">
        <v>1338</v>
      </c>
      <c r="G21" s="3">
        <v>-121659240750132</v>
      </c>
      <c r="H21" s="3">
        <v>-140414011783101</v>
      </c>
      <c r="I21" s="3">
        <v>-149093110747652</v>
      </c>
      <c r="J21" t="s">
        <v>1339</v>
      </c>
      <c r="K21" t="s">
        <v>1340</v>
      </c>
      <c r="L21" t="s">
        <v>1341</v>
      </c>
      <c r="M21" t="s">
        <v>1342</v>
      </c>
      <c r="N21" t="s">
        <v>1343</v>
      </c>
      <c r="O21" t="s">
        <v>1344</v>
      </c>
      <c r="P21" t="s">
        <v>1345</v>
      </c>
      <c r="Q21" t="s">
        <v>1346</v>
      </c>
      <c r="R21" t="s">
        <v>1347</v>
      </c>
      <c r="S21" t="s">
        <v>1348</v>
      </c>
      <c r="T21" t="s">
        <v>1349</v>
      </c>
      <c r="U21" t="s">
        <v>1350</v>
      </c>
      <c r="V21" t="s">
        <v>1351</v>
      </c>
      <c r="W21" t="s">
        <v>1352</v>
      </c>
      <c r="X21" t="s">
        <v>1353</v>
      </c>
      <c r="Y21" t="s">
        <v>1354</v>
      </c>
      <c r="Z21" t="s">
        <v>1355</v>
      </c>
      <c r="AA21" s="3">
        <v>-126476984748399</v>
      </c>
      <c r="AB21" s="3">
        <v>-145355163697191</v>
      </c>
      <c r="AC21" s="3">
        <v>-154231716439787</v>
      </c>
      <c r="AD21" t="s">
        <v>1356</v>
      </c>
      <c r="AE21" s="3">
        <v>-116841496751866</v>
      </c>
      <c r="AF21" s="3">
        <v>-13547285986901</v>
      </c>
      <c r="AG21" s="3">
        <v>-143954505055517</v>
      </c>
    </row>
    <row r="22" spans="1:33" x14ac:dyDescent="0.25">
      <c r="A22">
        <v>17</v>
      </c>
      <c r="B22" t="s">
        <v>1357</v>
      </c>
      <c r="C22" t="s">
        <v>1358</v>
      </c>
      <c r="D22" t="s">
        <v>1359</v>
      </c>
      <c r="E22" t="s">
        <v>1360</v>
      </c>
      <c r="F22" t="s">
        <v>1361</v>
      </c>
      <c r="G22" s="3">
        <v>-127828120394516</v>
      </c>
      <c r="H22" s="3">
        <v>-147491013612029</v>
      </c>
      <c r="I22" s="3">
        <v>-148345806799329</v>
      </c>
      <c r="J22" t="s">
        <v>1362</v>
      </c>
      <c r="K22" t="s">
        <v>1363</v>
      </c>
      <c r="L22" t="s">
        <v>1364</v>
      </c>
      <c r="M22" t="s">
        <v>1365</v>
      </c>
      <c r="N22" t="s">
        <v>1366</v>
      </c>
      <c r="O22" t="s">
        <v>1367</v>
      </c>
      <c r="P22" t="s">
        <v>1368</v>
      </c>
      <c r="Q22" t="s">
        <v>1369</v>
      </c>
      <c r="R22" t="s">
        <v>1370</v>
      </c>
      <c r="S22" t="s">
        <v>1371</v>
      </c>
      <c r="T22" t="s">
        <v>1372</v>
      </c>
      <c r="U22" t="s">
        <v>1373</v>
      </c>
      <c r="V22" t="s">
        <v>1374</v>
      </c>
      <c r="W22" t="s">
        <v>1375</v>
      </c>
      <c r="X22" t="s">
        <v>1376</v>
      </c>
      <c r="Y22" t="s">
        <v>1377</v>
      </c>
      <c r="Z22" t="s">
        <v>1378</v>
      </c>
      <c r="AA22" s="3">
        <v>-136279303051404</v>
      </c>
      <c r="AB22" s="3">
        <v>-156154945352025</v>
      </c>
      <c r="AC22" s="3">
        <v>-157353785036514</v>
      </c>
      <c r="AD22" t="s">
        <v>1379</v>
      </c>
      <c r="AE22" s="3">
        <v>-119376937737629</v>
      </c>
      <c r="AF22" s="3">
        <v>-138827081872034</v>
      </c>
      <c r="AG22" s="3">
        <v>-139337828562144</v>
      </c>
    </row>
    <row r="23" spans="1:33" x14ac:dyDescent="0.25">
      <c r="A23">
        <v>22</v>
      </c>
      <c r="B23" t="s">
        <v>1380</v>
      </c>
      <c r="C23" t="s">
        <v>1381</v>
      </c>
      <c r="D23" t="s">
        <v>1382</v>
      </c>
      <c r="E23" t="s">
        <v>1383</v>
      </c>
      <c r="F23" t="s">
        <v>1384</v>
      </c>
      <c r="G23" s="3">
        <v>-134191983767827</v>
      </c>
      <c r="H23" s="3">
        <v>-154742077615516</v>
      </c>
      <c r="I23" s="3">
        <v>-147866938477517</v>
      </c>
      <c r="J23" t="s">
        <v>1385</v>
      </c>
      <c r="K23" t="s">
        <v>1386</v>
      </c>
      <c r="L23" t="s">
        <v>1387</v>
      </c>
      <c r="M23" t="s">
        <v>1388</v>
      </c>
      <c r="N23" t="s">
        <v>1389</v>
      </c>
      <c r="O23" t="s">
        <v>1390</v>
      </c>
      <c r="P23" t="s">
        <v>1391</v>
      </c>
      <c r="Q23" t="s">
        <v>1392</v>
      </c>
      <c r="R23" t="s">
        <v>1393</v>
      </c>
      <c r="S23" t="s">
        <v>1394</v>
      </c>
      <c r="T23" t="s">
        <v>1395</v>
      </c>
      <c r="U23" t="s">
        <v>1396</v>
      </c>
      <c r="V23" t="s">
        <v>1397</v>
      </c>
      <c r="W23" t="s">
        <v>1398</v>
      </c>
      <c r="X23" t="s">
        <v>1399</v>
      </c>
      <c r="Y23" t="s">
        <v>1400</v>
      </c>
      <c r="Z23" t="s">
        <v>1401</v>
      </c>
      <c r="AA23" s="3">
        <v>-146371960881713</v>
      </c>
      <c r="AB23" s="3">
        <v>-167206117665623</v>
      </c>
      <c r="AC23" s="3">
        <v>-160836634959309</v>
      </c>
      <c r="AD23" t="s">
        <v>1402</v>
      </c>
      <c r="AE23" s="3">
        <v>-122012006653941</v>
      </c>
      <c r="AF23" s="3">
        <v>-142278037565409</v>
      </c>
      <c r="AG23" s="3">
        <v>-134897241995724</v>
      </c>
    </row>
    <row r="26" spans="1:33" x14ac:dyDescent="0.25">
      <c r="A26" t="s">
        <v>416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  <c r="M26" t="s">
        <v>24</v>
      </c>
      <c r="N26" t="s">
        <v>25</v>
      </c>
      <c r="O26" t="s">
        <v>26</v>
      </c>
      <c r="P26" t="s">
        <v>27</v>
      </c>
      <c r="Q26" t="s">
        <v>28</v>
      </c>
      <c r="R26" t="s">
        <v>29</v>
      </c>
      <c r="S26" t="s">
        <v>30</v>
      </c>
      <c r="T26" t="s">
        <v>31</v>
      </c>
      <c r="U26" t="s">
        <v>32</v>
      </c>
      <c r="V26" t="s">
        <v>33</v>
      </c>
      <c r="W26" t="s">
        <v>34</v>
      </c>
      <c r="X26" t="s">
        <v>35</v>
      </c>
      <c r="Y26" t="s">
        <v>36</v>
      </c>
      <c r="Z26" t="s">
        <v>37</v>
      </c>
      <c r="AA26" t="s">
        <v>38</v>
      </c>
      <c r="AB26" t="s">
        <v>39</v>
      </c>
      <c r="AC26" t="s">
        <v>40</v>
      </c>
      <c r="AD26" t="s">
        <v>41</v>
      </c>
      <c r="AE26" t="s">
        <v>42</v>
      </c>
      <c r="AF26" t="s">
        <v>43</v>
      </c>
      <c r="AG26" t="s">
        <v>44</v>
      </c>
    </row>
    <row r="27" spans="1:33" x14ac:dyDescent="0.25">
      <c r="A27" t="s">
        <v>417</v>
      </c>
      <c r="B27" t="s">
        <v>1403</v>
      </c>
      <c r="C27" t="s">
        <v>1404</v>
      </c>
      <c r="D27" t="s">
        <v>1405</v>
      </c>
      <c r="E27" t="s">
        <v>1406</v>
      </c>
      <c r="F27" t="s">
        <v>1407</v>
      </c>
      <c r="G27" s="3">
        <v>-12984398347189</v>
      </c>
      <c r="H27" s="3">
        <v>-153397915144347</v>
      </c>
      <c r="I27" s="3">
        <v>-135297495314544</v>
      </c>
      <c r="J27" t="s">
        <v>1408</v>
      </c>
      <c r="K27" t="s">
        <v>1409</v>
      </c>
      <c r="L27" t="s">
        <v>1410</v>
      </c>
      <c r="M27" t="s">
        <v>1411</v>
      </c>
      <c r="N27" t="s">
        <v>1412</v>
      </c>
      <c r="O27" t="s">
        <v>1413</v>
      </c>
      <c r="P27" t="s">
        <v>1414</v>
      </c>
      <c r="Q27" t="s">
        <v>1415</v>
      </c>
      <c r="R27" t="s">
        <v>1416</v>
      </c>
      <c r="S27" t="s">
        <v>1417</v>
      </c>
      <c r="T27" t="s">
        <v>1418</v>
      </c>
      <c r="U27" t="s">
        <v>1419</v>
      </c>
      <c r="V27" t="s">
        <v>1420</v>
      </c>
      <c r="W27" t="s">
        <v>1421</v>
      </c>
      <c r="X27" t="s">
        <v>1422</v>
      </c>
      <c r="Y27" t="s">
        <v>1423</v>
      </c>
      <c r="Z27" t="s">
        <v>1424</v>
      </c>
      <c r="AA27" s="3">
        <v>-132313870896845</v>
      </c>
      <c r="AB27" s="3">
        <v>-155967248745656</v>
      </c>
      <c r="AC27" s="3">
        <v>-137741009329459</v>
      </c>
      <c r="AD27" t="s">
        <v>1425</v>
      </c>
      <c r="AE27" s="3">
        <v>-127374096046934</v>
      </c>
      <c r="AF27" s="3">
        <v>-150828581543039</v>
      </c>
      <c r="AG27" s="3">
        <v>-13285398129963</v>
      </c>
    </row>
    <row r="28" spans="1:33" x14ac:dyDescent="0.25">
      <c r="A28" t="s">
        <v>441</v>
      </c>
      <c r="B28" t="s">
        <v>1426</v>
      </c>
      <c r="C28" s="4" t="s">
        <v>1427</v>
      </c>
      <c r="D28" t="s">
        <v>1428</v>
      </c>
      <c r="E28" t="s">
        <v>1429</v>
      </c>
      <c r="F28" t="s">
        <v>1430</v>
      </c>
      <c r="G28" s="3">
        <v>-117546799553201</v>
      </c>
      <c r="H28" s="3">
        <v>-131830799961914</v>
      </c>
      <c r="I28" s="3">
        <v>-149078879687493</v>
      </c>
      <c r="J28" t="s">
        <v>1431</v>
      </c>
      <c r="K28" t="s">
        <v>1432</v>
      </c>
      <c r="L28" t="s">
        <v>1433</v>
      </c>
      <c r="M28" t="s">
        <v>1434</v>
      </c>
      <c r="N28" t="s">
        <v>1435</v>
      </c>
      <c r="O28" t="s">
        <v>1436</v>
      </c>
      <c r="P28" t="s">
        <v>1437</v>
      </c>
      <c r="Q28" t="s">
        <v>1438</v>
      </c>
      <c r="R28" t="s">
        <v>1439</v>
      </c>
      <c r="S28" t="s">
        <v>1440</v>
      </c>
      <c r="T28" t="s">
        <v>1441</v>
      </c>
      <c r="U28" t="s">
        <v>1442</v>
      </c>
      <c r="V28" t="s">
        <v>1443</v>
      </c>
      <c r="W28" t="s">
        <v>1444</v>
      </c>
      <c r="X28" t="s">
        <v>1445</v>
      </c>
      <c r="Y28" t="s">
        <v>1446</v>
      </c>
      <c r="Z28" t="s">
        <v>1447</v>
      </c>
      <c r="AA28" s="3">
        <v>-119981428162591</v>
      </c>
      <c r="AB28" s="3">
        <v>-134289651180169</v>
      </c>
      <c r="AC28" s="3">
        <v>-1516742701512</v>
      </c>
      <c r="AD28" t="s">
        <v>1448</v>
      </c>
      <c r="AE28" s="3">
        <v>-11511217094381</v>
      </c>
      <c r="AF28" s="3">
        <v>-12937194874366</v>
      </c>
      <c r="AG28" s="3">
        <v>-146483489223786</v>
      </c>
    </row>
    <row r="29" spans="1:33" x14ac:dyDescent="0.25">
      <c r="A29" t="s">
        <v>465</v>
      </c>
      <c r="B29" t="s">
        <v>1449</v>
      </c>
      <c r="C29" t="s">
        <v>1450</v>
      </c>
      <c r="D29" t="s">
        <v>1451</v>
      </c>
      <c r="E29" t="s">
        <v>1452</v>
      </c>
      <c r="F29" t="s">
        <v>1453</v>
      </c>
      <c r="G29" t="s">
        <v>1454</v>
      </c>
      <c r="H29" s="3">
        <v>-106657710366565</v>
      </c>
      <c r="I29" s="3">
        <v>-173333733985556</v>
      </c>
      <c r="J29" t="s">
        <v>1455</v>
      </c>
      <c r="K29" t="s">
        <v>1456</v>
      </c>
      <c r="L29" t="s">
        <v>1457</v>
      </c>
      <c r="M29" t="s">
        <v>1458</v>
      </c>
      <c r="N29" t="s">
        <v>1459</v>
      </c>
      <c r="O29" t="s">
        <v>1460</v>
      </c>
      <c r="P29" t="s">
        <v>1461</v>
      </c>
      <c r="Q29" t="s">
        <v>1462</v>
      </c>
      <c r="R29" t="s">
        <v>1463</v>
      </c>
      <c r="S29" t="s">
        <v>1464</v>
      </c>
      <c r="T29" t="s">
        <v>1465</v>
      </c>
      <c r="U29" t="s">
        <v>1466</v>
      </c>
      <c r="V29" t="s">
        <v>1467</v>
      </c>
      <c r="W29" t="s">
        <v>1468</v>
      </c>
      <c r="X29" t="s">
        <v>1469</v>
      </c>
      <c r="Y29" t="s">
        <v>1470</v>
      </c>
      <c r="Z29" t="s">
        <v>1471</v>
      </c>
      <c r="AA29" t="s">
        <v>1472</v>
      </c>
      <c r="AB29" s="3">
        <v>-109245791749422</v>
      </c>
      <c r="AC29" s="3">
        <v>-176566605819733</v>
      </c>
      <c r="AD29" t="s">
        <v>1473</v>
      </c>
      <c r="AE29" t="s">
        <v>1474</v>
      </c>
      <c r="AF29" s="3">
        <v>-104069628983708</v>
      </c>
      <c r="AG29" s="3">
        <v>-17010086215138</v>
      </c>
    </row>
    <row r="32" spans="1:33" x14ac:dyDescent="0.25">
      <c r="A32" t="s">
        <v>1475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20</v>
      </c>
      <c r="J32" t="s">
        <v>21</v>
      </c>
      <c r="K32" t="s">
        <v>22</v>
      </c>
      <c r="L32" t="s">
        <v>23</v>
      </c>
      <c r="M32" t="s">
        <v>24</v>
      </c>
      <c r="N32" t="s">
        <v>25</v>
      </c>
      <c r="O32" t="s">
        <v>26</v>
      </c>
      <c r="P32" t="s">
        <v>27</v>
      </c>
      <c r="Q32" t="s">
        <v>28</v>
      </c>
      <c r="R32" t="s">
        <v>29</v>
      </c>
      <c r="S32" t="s">
        <v>30</v>
      </c>
      <c r="T32" t="s">
        <v>31</v>
      </c>
      <c r="U32" t="s">
        <v>32</v>
      </c>
      <c r="V32" t="s">
        <v>33</v>
      </c>
      <c r="W32" t="s">
        <v>34</v>
      </c>
      <c r="X32" t="s">
        <v>35</v>
      </c>
      <c r="Y32" t="s">
        <v>36</v>
      </c>
      <c r="Z32" t="s">
        <v>37</v>
      </c>
      <c r="AA32" t="s">
        <v>38</v>
      </c>
      <c r="AB32" t="s">
        <v>39</v>
      </c>
      <c r="AC32" t="s">
        <v>40</v>
      </c>
      <c r="AD32" t="s">
        <v>41</v>
      </c>
      <c r="AE32" t="s">
        <v>42</v>
      </c>
      <c r="AF32" t="s">
        <v>43</v>
      </c>
      <c r="AG32" t="s">
        <v>44</v>
      </c>
    </row>
    <row r="33" spans="1:33" x14ac:dyDescent="0.25">
      <c r="A33">
        <v>-3</v>
      </c>
      <c r="B33" t="s">
        <v>1476</v>
      </c>
      <c r="C33" s="5" t="s">
        <v>3212</v>
      </c>
      <c r="D33" t="s">
        <v>1477</v>
      </c>
      <c r="E33" s="5" t="s">
        <v>3214</v>
      </c>
      <c r="F33" s="3">
        <v>362831385507669</v>
      </c>
      <c r="G33" s="3">
        <v>-13194760447417</v>
      </c>
      <c r="H33" s="3">
        <v>-362974837444401</v>
      </c>
      <c r="I33" s="3">
        <v>-102811741325818</v>
      </c>
      <c r="J33" t="s">
        <v>1478</v>
      </c>
      <c r="K33" s="5" t="s">
        <v>3215</v>
      </c>
      <c r="L33" t="s">
        <v>1479</v>
      </c>
      <c r="M33" s="5" t="s">
        <v>3218</v>
      </c>
      <c r="N33" t="s">
        <v>1480</v>
      </c>
      <c r="O33" t="s">
        <v>1481</v>
      </c>
      <c r="P33" t="s">
        <v>1482</v>
      </c>
      <c r="Q33" t="s">
        <v>1483</v>
      </c>
      <c r="R33" t="s">
        <v>1484</v>
      </c>
      <c r="S33" s="5">
        <v>152156569.49763599</v>
      </c>
      <c r="T33" t="s">
        <v>1485</v>
      </c>
      <c r="U33" s="5">
        <v>2805315108.6072798</v>
      </c>
      <c r="V33" t="s">
        <v>1486</v>
      </c>
      <c r="W33" s="5">
        <v>227449160.66858599</v>
      </c>
      <c r="X33" t="s">
        <v>1487</v>
      </c>
      <c r="Y33" s="5">
        <v>4186716906.8225298</v>
      </c>
      <c r="Z33" s="3">
        <v>34548516872813</v>
      </c>
      <c r="AA33" s="3">
        <v>-133957691692051</v>
      </c>
      <c r="AB33" s="3">
        <v>-380336760342819</v>
      </c>
      <c r="AC33" s="3">
        <v>-10481381540576</v>
      </c>
      <c r="AD33" s="3">
        <v>380177602287208</v>
      </c>
      <c r="AE33" s="3">
        <v>-129937517256289</v>
      </c>
      <c r="AF33" s="3">
        <v>-345612914545982</v>
      </c>
      <c r="AG33" s="3">
        <v>-100809667245875</v>
      </c>
    </row>
    <row r="34" spans="1:33" x14ac:dyDescent="0.25">
      <c r="A34">
        <v>7.0000000000000007E-2</v>
      </c>
      <c r="B34" t="s">
        <v>1489</v>
      </c>
      <c r="C34" s="5" t="s">
        <v>3213</v>
      </c>
      <c r="D34" t="s">
        <v>1490</v>
      </c>
      <c r="E34" t="s">
        <v>1491</v>
      </c>
      <c r="F34" s="3">
        <v>274461712040686</v>
      </c>
      <c r="G34" s="3">
        <v>-960319019682385</v>
      </c>
      <c r="H34" s="3">
        <v>-275467813674043</v>
      </c>
      <c r="I34" s="3">
        <v>-759864753131601</v>
      </c>
      <c r="J34" t="s">
        <v>1492</v>
      </c>
      <c r="K34" s="5" t="s">
        <v>3216</v>
      </c>
      <c r="L34" t="s">
        <v>1493</v>
      </c>
      <c r="M34" s="5" t="s">
        <v>3219</v>
      </c>
      <c r="N34" t="s">
        <v>1494</v>
      </c>
      <c r="O34" t="s">
        <v>1495</v>
      </c>
      <c r="P34" t="s">
        <v>1496</v>
      </c>
      <c r="Q34" t="s">
        <v>1497</v>
      </c>
      <c r="R34" t="s">
        <v>1498</v>
      </c>
      <c r="S34" s="5">
        <v>5848485830.3492603</v>
      </c>
      <c r="T34" t="s">
        <v>1499</v>
      </c>
      <c r="U34" t="s">
        <v>1500</v>
      </c>
      <c r="V34" t="s">
        <v>1501</v>
      </c>
      <c r="W34" s="5">
        <v>7792418915.69909</v>
      </c>
      <c r="X34" t="s">
        <v>1502</v>
      </c>
      <c r="Y34" t="s">
        <v>1503</v>
      </c>
      <c r="Z34" s="3">
        <v>262180422658548</v>
      </c>
      <c r="AA34" s="3">
        <v>-974668418307968</v>
      </c>
      <c r="AB34" s="3">
        <v>-287822094477678</v>
      </c>
      <c r="AC34" s="3">
        <v>-774166538873492</v>
      </c>
      <c r="AD34" s="3">
        <v>286743001422825</v>
      </c>
      <c r="AE34" s="3">
        <v>-945969621056802</v>
      </c>
      <c r="AF34" s="3">
        <v>-263113532870409</v>
      </c>
      <c r="AG34" s="3">
        <v>-745562967389709</v>
      </c>
    </row>
    <row r="35" spans="1:33" x14ac:dyDescent="0.25">
      <c r="A35">
        <v>3</v>
      </c>
      <c r="B35" t="s">
        <v>1504</v>
      </c>
      <c r="C35" t="s">
        <v>1505</v>
      </c>
      <c r="D35" t="s">
        <v>1506</v>
      </c>
      <c r="E35" t="s">
        <v>1507</v>
      </c>
      <c r="F35" s="3">
        <v>18561509360137</v>
      </c>
      <c r="G35" s="3">
        <v>-622202956438845</v>
      </c>
      <c r="H35" s="3">
        <v>-192774913285148</v>
      </c>
      <c r="I35" s="3">
        <v>-508168507860449</v>
      </c>
      <c r="J35" t="s">
        <v>1508</v>
      </c>
      <c r="K35" s="5" t="s">
        <v>3217</v>
      </c>
      <c r="L35" t="s">
        <v>1509</v>
      </c>
      <c r="M35" t="s">
        <v>1510</v>
      </c>
      <c r="N35" t="s">
        <v>1511</v>
      </c>
      <c r="O35" t="s">
        <v>1512</v>
      </c>
      <c r="P35" t="s">
        <v>1513</v>
      </c>
      <c r="Q35" t="s">
        <v>1514</v>
      </c>
      <c r="R35" t="s">
        <v>1515</v>
      </c>
      <c r="S35" t="s">
        <v>1516</v>
      </c>
      <c r="T35" t="s">
        <v>1517</v>
      </c>
      <c r="U35" t="s">
        <v>1518</v>
      </c>
      <c r="V35" t="s">
        <v>1519</v>
      </c>
      <c r="W35" t="s">
        <v>1520</v>
      </c>
      <c r="X35" t="s">
        <v>1521</v>
      </c>
      <c r="Y35" t="s">
        <v>1522</v>
      </c>
      <c r="Z35" s="3">
        <v>178278969660348</v>
      </c>
      <c r="AA35" s="3">
        <v>-631127812843962</v>
      </c>
      <c r="AB35" s="3">
        <v>-200371255651239</v>
      </c>
      <c r="AC35" s="3">
        <v>-51708726914689</v>
      </c>
      <c r="AD35" s="3">
        <v>192951217542393</v>
      </c>
      <c r="AE35" s="3">
        <v>-613278100033727</v>
      </c>
      <c r="AF35" s="3">
        <v>-185178570919057</v>
      </c>
      <c r="AG35" s="3">
        <v>-499249746574008</v>
      </c>
    </row>
    <row r="36" spans="1:33" x14ac:dyDescent="0.25">
      <c r="A36">
        <v>7</v>
      </c>
      <c r="B36" t="s">
        <v>1523</v>
      </c>
      <c r="C36" t="s">
        <v>1524</v>
      </c>
      <c r="D36" t="s">
        <v>1525</v>
      </c>
      <c r="E36" t="s">
        <v>1526</v>
      </c>
      <c r="F36" t="s">
        <v>1527</v>
      </c>
      <c r="G36" s="3">
        <v>-188640436452061</v>
      </c>
      <c r="H36" s="3">
        <v>-118623628572226</v>
      </c>
      <c r="I36" s="3">
        <v>-19424073996748</v>
      </c>
      <c r="J36" t="s">
        <v>1528</v>
      </c>
      <c r="K36" t="s">
        <v>1529</v>
      </c>
      <c r="L36" t="s">
        <v>1530</v>
      </c>
      <c r="M36" t="s">
        <v>1531</v>
      </c>
      <c r="N36" t="s">
        <v>1532</v>
      </c>
      <c r="O36" t="s">
        <v>1533</v>
      </c>
      <c r="P36" t="s">
        <v>1534</v>
      </c>
      <c r="Q36" t="s">
        <v>1535</v>
      </c>
      <c r="R36" t="s">
        <v>1536</v>
      </c>
      <c r="S36" t="s">
        <v>1537</v>
      </c>
      <c r="T36" t="s">
        <v>1538</v>
      </c>
      <c r="U36" t="s">
        <v>1539</v>
      </c>
      <c r="V36" t="s">
        <v>1540</v>
      </c>
      <c r="W36" t="s">
        <v>1541</v>
      </c>
      <c r="X36" t="s">
        <v>1542</v>
      </c>
      <c r="Y36" t="s">
        <v>1543</v>
      </c>
      <c r="Z36" t="s">
        <v>1544</v>
      </c>
      <c r="AA36" s="3">
        <v>-190907512166235</v>
      </c>
      <c r="AB36" s="3">
        <v>-120415679010924</v>
      </c>
      <c r="AC36" s="3">
        <v>-196534056901492</v>
      </c>
      <c r="AD36" t="s">
        <v>1545</v>
      </c>
      <c r="AE36" s="3">
        <v>-186373360737886</v>
      </c>
      <c r="AF36" s="3">
        <v>-116831578133527</v>
      </c>
      <c r="AG36" s="3">
        <v>-191947423033468</v>
      </c>
    </row>
    <row r="37" spans="1:33" x14ac:dyDescent="0.25">
      <c r="A37">
        <v>10</v>
      </c>
      <c r="B37" t="s">
        <v>1546</v>
      </c>
      <c r="C37" t="s">
        <v>1547</v>
      </c>
      <c r="D37" t="s">
        <v>1548</v>
      </c>
      <c r="E37" t="s">
        <v>1549</v>
      </c>
      <c r="F37" s="3">
        <v>-260618845808091</v>
      </c>
      <c r="G37" t="s">
        <v>1550</v>
      </c>
      <c r="H37" s="3">
        <v>-252196460134001</v>
      </c>
      <c r="I37" s="3">
        <v>-114643293428868</v>
      </c>
      <c r="J37" t="s">
        <v>1551</v>
      </c>
      <c r="K37" t="s">
        <v>1552</v>
      </c>
      <c r="L37" t="s">
        <v>1553</v>
      </c>
      <c r="M37" t="s">
        <v>1554</v>
      </c>
      <c r="N37" t="s">
        <v>1555</v>
      </c>
      <c r="O37" t="s">
        <v>1556</v>
      </c>
      <c r="P37" t="s">
        <v>1557</v>
      </c>
      <c r="Q37" t="s">
        <v>1558</v>
      </c>
      <c r="R37" t="s">
        <v>1559</v>
      </c>
      <c r="S37" t="s">
        <v>1560</v>
      </c>
      <c r="T37" t="s">
        <v>1561</v>
      </c>
      <c r="U37" t="s">
        <v>1562</v>
      </c>
      <c r="V37" t="s">
        <v>1563</v>
      </c>
      <c r="W37" t="s">
        <v>1564</v>
      </c>
      <c r="X37" t="s">
        <v>1565</v>
      </c>
      <c r="Y37" t="s">
        <v>1566</v>
      </c>
      <c r="Z37" s="3">
        <v>-264366351194</v>
      </c>
      <c r="AA37" t="s">
        <v>1567</v>
      </c>
      <c r="AB37" s="3">
        <v>-25626168138087</v>
      </c>
      <c r="AC37" s="3">
        <v>-118466915498433</v>
      </c>
      <c r="AD37" s="3">
        <v>-256871340422182</v>
      </c>
      <c r="AE37" t="s">
        <v>1568</v>
      </c>
      <c r="AF37" s="3">
        <v>-248131238887133</v>
      </c>
      <c r="AG37" s="3">
        <v>-110819671359303</v>
      </c>
    </row>
    <row r="40" spans="1:33" x14ac:dyDescent="0.25">
      <c r="A40" t="s">
        <v>1569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20</v>
      </c>
      <c r="J40" t="s">
        <v>21</v>
      </c>
      <c r="K40" t="s">
        <v>22</v>
      </c>
      <c r="L40" t="s">
        <v>23</v>
      </c>
      <c r="M40" t="s">
        <v>24</v>
      </c>
      <c r="N40" t="s">
        <v>25</v>
      </c>
      <c r="O40" t="s">
        <v>26</v>
      </c>
      <c r="P40" t="s">
        <v>27</v>
      </c>
      <c r="Q40" t="s">
        <v>28</v>
      </c>
      <c r="R40" t="s">
        <v>29</v>
      </c>
      <c r="S40" t="s">
        <v>30</v>
      </c>
      <c r="T40" t="s">
        <v>31</v>
      </c>
      <c r="U40" t="s">
        <v>32</v>
      </c>
      <c r="V40" t="s">
        <v>33</v>
      </c>
      <c r="W40" t="s">
        <v>34</v>
      </c>
      <c r="X40" t="s">
        <v>35</v>
      </c>
      <c r="Y40" t="s">
        <v>36</v>
      </c>
      <c r="Z40" t="s">
        <v>37</v>
      </c>
      <c r="AA40" t="s">
        <v>38</v>
      </c>
      <c r="AB40" t="s">
        <v>39</v>
      </c>
      <c r="AC40" t="s">
        <v>40</v>
      </c>
      <c r="AD40" t="s">
        <v>41</v>
      </c>
      <c r="AE40" t="s">
        <v>42</v>
      </c>
      <c r="AF40" t="s">
        <v>43</v>
      </c>
      <c r="AG40" t="s">
        <v>44</v>
      </c>
    </row>
    <row r="41" spans="1:33" x14ac:dyDescent="0.25">
      <c r="A41">
        <v>0.3</v>
      </c>
      <c r="B41" t="s">
        <v>1571</v>
      </c>
      <c r="C41" t="s">
        <v>1572</v>
      </c>
      <c r="D41" t="s">
        <v>1573</v>
      </c>
      <c r="E41" t="s">
        <v>1574</v>
      </c>
      <c r="F41" t="s">
        <v>1575</v>
      </c>
      <c r="G41" s="3">
        <v>-323997197412437</v>
      </c>
      <c r="H41" t="s">
        <v>1576</v>
      </c>
      <c r="I41" s="3">
        <v>-495120299386123</v>
      </c>
      <c r="J41" t="s">
        <v>1577</v>
      </c>
      <c r="K41" t="s">
        <v>1578</v>
      </c>
      <c r="L41" t="s">
        <v>1579</v>
      </c>
      <c r="M41" t="s">
        <v>1580</v>
      </c>
      <c r="N41" t="s">
        <v>1581</v>
      </c>
      <c r="O41" t="s">
        <v>1582</v>
      </c>
      <c r="P41" t="s">
        <v>1583</v>
      </c>
      <c r="Q41" t="s">
        <v>1584</v>
      </c>
      <c r="R41" t="s">
        <v>1585</v>
      </c>
      <c r="S41" t="s">
        <v>1586</v>
      </c>
      <c r="T41" t="s">
        <v>1587</v>
      </c>
      <c r="U41" t="s">
        <v>1588</v>
      </c>
      <c r="V41" t="s">
        <v>1589</v>
      </c>
      <c r="W41" t="s">
        <v>1590</v>
      </c>
      <c r="X41" t="s">
        <v>1591</v>
      </c>
      <c r="Y41" t="s">
        <v>1592</v>
      </c>
      <c r="Z41" t="s">
        <v>1593</v>
      </c>
      <c r="AA41" s="3">
        <v>-336123824165041</v>
      </c>
      <c r="AB41" t="s">
        <v>1594</v>
      </c>
      <c r="AC41" s="3">
        <v>-508709432591785</v>
      </c>
      <c r="AD41" t="s">
        <v>1595</v>
      </c>
      <c r="AE41" s="3">
        <v>-311870570659834</v>
      </c>
      <c r="AF41" t="s">
        <v>1596</v>
      </c>
      <c r="AG41" s="3">
        <v>-481531166180462</v>
      </c>
    </row>
    <row r="42" spans="1:33" x14ac:dyDescent="0.25">
      <c r="A42">
        <v>3</v>
      </c>
      <c r="B42" t="s">
        <v>1597</v>
      </c>
      <c r="C42" t="s">
        <v>1598</v>
      </c>
      <c r="D42" t="s">
        <v>1599</v>
      </c>
      <c r="E42" t="s">
        <v>1600</v>
      </c>
      <c r="F42" t="s">
        <v>1601</v>
      </c>
      <c r="G42" s="3">
        <v>-240341577438269</v>
      </c>
      <c r="H42" t="s">
        <v>1602</v>
      </c>
      <c r="I42" s="3">
        <v>-364670028729918</v>
      </c>
      <c r="J42" t="s">
        <v>1603</v>
      </c>
      <c r="K42" t="s">
        <v>1604</v>
      </c>
      <c r="L42" t="s">
        <v>1605</v>
      </c>
      <c r="M42" t="s">
        <v>1606</v>
      </c>
      <c r="N42" t="s">
        <v>1607</v>
      </c>
      <c r="O42" t="s">
        <v>1608</v>
      </c>
      <c r="P42" t="s">
        <v>1609</v>
      </c>
      <c r="Q42" t="s">
        <v>1610</v>
      </c>
      <c r="R42" t="s">
        <v>1611</v>
      </c>
      <c r="S42" t="s">
        <v>1612</v>
      </c>
      <c r="T42" t="s">
        <v>1613</v>
      </c>
      <c r="U42" t="s">
        <v>1614</v>
      </c>
      <c r="V42" t="s">
        <v>1615</v>
      </c>
      <c r="W42" t="s">
        <v>1616</v>
      </c>
      <c r="X42" t="s">
        <v>1617</v>
      </c>
      <c r="Y42" t="s">
        <v>1618</v>
      </c>
      <c r="Z42" t="s">
        <v>1619</v>
      </c>
      <c r="AA42" s="3">
        <v>-248161852353498</v>
      </c>
      <c r="AB42" t="s">
        <v>1620</v>
      </c>
      <c r="AC42" s="3">
        <v>-373412333433559</v>
      </c>
      <c r="AD42" t="s">
        <v>1621</v>
      </c>
      <c r="AE42" s="3">
        <v>-232521302523041</v>
      </c>
      <c r="AF42" t="s">
        <v>1622</v>
      </c>
      <c r="AG42" s="3">
        <v>-355927724026278</v>
      </c>
    </row>
    <row r="43" spans="1:33" x14ac:dyDescent="0.25">
      <c r="A43">
        <v>5</v>
      </c>
      <c r="B43" t="s">
        <v>1623</v>
      </c>
      <c r="C43" t="s">
        <v>1624</v>
      </c>
      <c r="D43" t="s">
        <v>1625</v>
      </c>
      <c r="E43" t="s">
        <v>1626</v>
      </c>
      <c r="F43" t="s">
        <v>1627</v>
      </c>
      <c r="G43" s="3">
        <v>-18254798557149</v>
      </c>
      <c r="H43" t="s">
        <v>1628</v>
      </c>
      <c r="I43" s="3">
        <v>-272546207487219</v>
      </c>
      <c r="J43" t="s">
        <v>1629</v>
      </c>
      <c r="K43" t="s">
        <v>1630</v>
      </c>
      <c r="L43" t="s">
        <v>1631</v>
      </c>
      <c r="M43" t="s">
        <v>1632</v>
      </c>
      <c r="N43" t="s">
        <v>1633</v>
      </c>
      <c r="O43" t="s">
        <v>1634</v>
      </c>
      <c r="P43" t="s">
        <v>1635</v>
      </c>
      <c r="Q43" t="s">
        <v>1636</v>
      </c>
      <c r="R43" t="s">
        <v>1637</v>
      </c>
      <c r="S43" t="s">
        <v>1638</v>
      </c>
      <c r="T43" t="s">
        <v>1639</v>
      </c>
      <c r="U43" t="s">
        <v>1640</v>
      </c>
      <c r="V43" t="s">
        <v>1641</v>
      </c>
      <c r="W43" t="s">
        <v>1642</v>
      </c>
      <c r="X43" t="s">
        <v>1643</v>
      </c>
      <c r="Y43" t="s">
        <v>1644</v>
      </c>
      <c r="Z43" t="s">
        <v>1645</v>
      </c>
      <c r="AA43" s="3">
        <v>-187288107541117</v>
      </c>
      <c r="AB43" t="s">
        <v>1646</v>
      </c>
      <c r="AC43" s="3">
        <v>-277887286008985</v>
      </c>
      <c r="AD43" t="s">
        <v>1647</v>
      </c>
      <c r="AE43" s="3">
        <v>-177807863601864</v>
      </c>
      <c r="AF43" t="s">
        <v>1648</v>
      </c>
      <c r="AG43" s="3">
        <v>-267205128965452</v>
      </c>
    </row>
    <row r="44" spans="1:33" x14ac:dyDescent="0.25">
      <c r="A44">
        <v>8</v>
      </c>
      <c r="B44" t="s">
        <v>1649</v>
      </c>
      <c r="C44" t="s">
        <v>1650</v>
      </c>
      <c r="D44" t="s">
        <v>1651</v>
      </c>
      <c r="E44" t="s">
        <v>1652</v>
      </c>
      <c r="F44" t="s">
        <v>1653</v>
      </c>
      <c r="G44" s="3">
        <v>-112170984835041</v>
      </c>
      <c r="H44" s="3">
        <v>-135503348346588</v>
      </c>
      <c r="I44" s="3">
        <v>-145534188689765</v>
      </c>
      <c r="J44" t="s">
        <v>1654</v>
      </c>
      <c r="K44" t="s">
        <v>1655</v>
      </c>
      <c r="L44" t="s">
        <v>1656</v>
      </c>
      <c r="M44" t="s">
        <v>1657</v>
      </c>
      <c r="N44" t="s">
        <v>1658</v>
      </c>
      <c r="O44" t="s">
        <v>1659</v>
      </c>
      <c r="P44" t="s">
        <v>1660</v>
      </c>
      <c r="Q44" t="s">
        <v>1661</v>
      </c>
      <c r="R44" t="s">
        <v>1662</v>
      </c>
      <c r="S44" t="s">
        <v>1663</v>
      </c>
      <c r="T44" t="s">
        <v>1664</v>
      </c>
      <c r="U44" t="s">
        <v>1665</v>
      </c>
      <c r="V44" t="s">
        <v>1666</v>
      </c>
      <c r="W44" t="s">
        <v>1667</v>
      </c>
      <c r="X44" t="s">
        <v>1668</v>
      </c>
      <c r="Y44" t="s">
        <v>1669</v>
      </c>
      <c r="Z44" t="s">
        <v>1670</v>
      </c>
      <c r="AA44" s="3">
        <v>-113728045746966</v>
      </c>
      <c r="AB44" s="3">
        <v>-137095557922852</v>
      </c>
      <c r="AC44" s="3">
        <v>-147188163539365</v>
      </c>
      <c r="AD44" t="s">
        <v>1671</v>
      </c>
      <c r="AE44" s="3">
        <v>-110613923923116</v>
      </c>
      <c r="AF44" s="3">
        <v>-133911138770324</v>
      </c>
      <c r="AG44" s="3">
        <v>-143880213840164</v>
      </c>
    </row>
    <row r="45" spans="1:33" x14ac:dyDescent="0.25">
      <c r="A45">
        <v>10</v>
      </c>
      <c r="B45" t="s">
        <v>1672</v>
      </c>
      <c r="C45" t="s">
        <v>1673</v>
      </c>
      <c r="D45" t="s">
        <v>1674</v>
      </c>
      <c r="E45" t="s">
        <v>1675</v>
      </c>
      <c r="F45" s="3">
        <v>-107486092083324</v>
      </c>
      <c r="G45" t="s">
        <v>1676</v>
      </c>
      <c r="H45" s="3">
        <v>-199980980265915</v>
      </c>
      <c r="I45" t="s">
        <v>1677</v>
      </c>
      <c r="J45" t="s">
        <v>1678</v>
      </c>
      <c r="K45" t="s">
        <v>1679</v>
      </c>
      <c r="L45" t="s">
        <v>1680</v>
      </c>
      <c r="M45" t="s">
        <v>1681</v>
      </c>
      <c r="N45" t="s">
        <v>1682</v>
      </c>
      <c r="O45" t="s">
        <v>1683</v>
      </c>
      <c r="P45" t="s">
        <v>1684</v>
      </c>
      <c r="Q45" t="s">
        <v>1685</v>
      </c>
      <c r="R45" t="s">
        <v>1686</v>
      </c>
      <c r="S45" t="s">
        <v>1687</v>
      </c>
      <c r="T45" t="s">
        <v>1688</v>
      </c>
      <c r="U45" t="s">
        <v>1689</v>
      </c>
      <c r="V45" t="s">
        <v>1690</v>
      </c>
      <c r="W45" t="s">
        <v>1691</v>
      </c>
      <c r="X45" t="s">
        <v>1692</v>
      </c>
      <c r="Y45" t="s">
        <v>1693</v>
      </c>
      <c r="Z45" s="3">
        <v>-110760240387727</v>
      </c>
      <c r="AA45" t="s">
        <v>1694</v>
      </c>
      <c r="AB45" s="3">
        <v>-203743524948629</v>
      </c>
      <c r="AC45" t="s">
        <v>1695</v>
      </c>
      <c r="AD45" s="3">
        <v>-104211943778922</v>
      </c>
      <c r="AE45" t="s">
        <v>1696</v>
      </c>
      <c r="AF45" s="3">
        <v>-196218435583201</v>
      </c>
      <c r="AG45" t="s">
        <v>1697</v>
      </c>
    </row>
    <row r="48" spans="1:33" x14ac:dyDescent="0.25">
      <c r="A48" t="s">
        <v>491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 t="s">
        <v>20</v>
      </c>
      <c r="J48" t="s">
        <v>21</v>
      </c>
      <c r="K48" t="s">
        <v>22</v>
      </c>
      <c r="L48" t="s">
        <v>23</v>
      </c>
      <c r="M48" t="s">
        <v>24</v>
      </c>
      <c r="N48" t="s">
        <v>25</v>
      </c>
      <c r="O48" t="s">
        <v>26</v>
      </c>
      <c r="P48" t="s">
        <v>27</v>
      </c>
      <c r="Q48" t="s">
        <v>28</v>
      </c>
      <c r="R48" t="s">
        <v>29</v>
      </c>
      <c r="S48" t="s">
        <v>30</v>
      </c>
      <c r="T48" t="s">
        <v>31</v>
      </c>
      <c r="U48" t="s">
        <v>32</v>
      </c>
      <c r="V48" t="s">
        <v>33</v>
      </c>
      <c r="W48" t="s">
        <v>34</v>
      </c>
      <c r="X48" t="s">
        <v>35</v>
      </c>
      <c r="Y48" t="s">
        <v>36</v>
      </c>
      <c r="Z48" t="s">
        <v>37</v>
      </c>
      <c r="AA48" t="s">
        <v>38</v>
      </c>
      <c r="AB48" t="s">
        <v>39</v>
      </c>
      <c r="AC48" t="s">
        <v>40</v>
      </c>
      <c r="AD48" t="s">
        <v>41</v>
      </c>
      <c r="AE48" t="s">
        <v>42</v>
      </c>
      <c r="AF48" t="s">
        <v>43</v>
      </c>
      <c r="AG48" t="s">
        <v>44</v>
      </c>
    </row>
    <row r="49" spans="1:33" x14ac:dyDescent="0.25">
      <c r="A49" t="s">
        <v>492</v>
      </c>
      <c r="B49" t="s">
        <v>1698</v>
      </c>
      <c r="C49" t="s">
        <v>1699</v>
      </c>
      <c r="D49" t="s">
        <v>1700</v>
      </c>
      <c r="E49" t="s">
        <v>1701</v>
      </c>
      <c r="F49" t="s">
        <v>1702</v>
      </c>
      <c r="G49" s="3">
        <v>-10780994745552</v>
      </c>
      <c r="H49" s="3">
        <v>-135354521154326</v>
      </c>
      <c r="I49" s="3">
        <v>-14266503592116</v>
      </c>
      <c r="J49" t="s">
        <v>1703</v>
      </c>
      <c r="K49" t="s">
        <v>1704</v>
      </c>
      <c r="L49" t="s">
        <v>1705</v>
      </c>
      <c r="M49" t="s">
        <v>1706</v>
      </c>
      <c r="N49" t="s">
        <v>1707</v>
      </c>
      <c r="O49" t="s">
        <v>1708</v>
      </c>
      <c r="P49" t="s">
        <v>1709</v>
      </c>
      <c r="Q49" t="s">
        <v>1710</v>
      </c>
      <c r="R49" t="s">
        <v>1711</v>
      </c>
      <c r="S49" t="s">
        <v>1712</v>
      </c>
      <c r="T49" t="s">
        <v>1713</v>
      </c>
      <c r="U49" t="s">
        <v>1714</v>
      </c>
      <c r="V49" t="s">
        <v>1715</v>
      </c>
      <c r="W49" t="s">
        <v>1716</v>
      </c>
      <c r="X49" t="s">
        <v>1717</v>
      </c>
      <c r="Y49" t="s">
        <v>1718</v>
      </c>
      <c r="Z49" t="s">
        <v>1719</v>
      </c>
      <c r="AA49" s="3">
        <v>-114691972434375</v>
      </c>
      <c r="AB49" s="3">
        <v>-142440480375279</v>
      </c>
      <c r="AC49" s="3">
        <v>-14997077371427</v>
      </c>
      <c r="AD49" t="s">
        <v>1720</v>
      </c>
      <c r="AE49" s="3">
        <v>-100927922476666</v>
      </c>
      <c r="AF49" s="3">
        <v>-128268561933374</v>
      </c>
      <c r="AG49" s="3">
        <v>-135359298128049</v>
      </c>
    </row>
    <row r="50" spans="1:33" x14ac:dyDescent="0.25">
      <c r="A50" t="s">
        <v>516</v>
      </c>
      <c r="B50" t="s">
        <v>1721</v>
      </c>
      <c r="C50" t="s">
        <v>1722</v>
      </c>
      <c r="D50" t="s">
        <v>1723</v>
      </c>
      <c r="E50" t="s">
        <v>1724</v>
      </c>
      <c r="F50" t="s">
        <v>1725</v>
      </c>
      <c r="G50" s="3">
        <v>-11308182810647</v>
      </c>
      <c r="H50" s="3">
        <v>-134515644927979</v>
      </c>
      <c r="I50" s="3">
        <v>-147109647993089</v>
      </c>
      <c r="J50" t="s">
        <v>1726</v>
      </c>
      <c r="K50" t="s">
        <v>1727</v>
      </c>
      <c r="L50" t="s">
        <v>1728</v>
      </c>
      <c r="M50" t="s">
        <v>1729</v>
      </c>
      <c r="N50" t="s">
        <v>1730</v>
      </c>
      <c r="O50" t="s">
        <v>1731</v>
      </c>
      <c r="P50" t="s">
        <v>1732</v>
      </c>
      <c r="Q50" t="s">
        <v>1733</v>
      </c>
      <c r="R50" t="s">
        <v>1734</v>
      </c>
      <c r="S50" t="s">
        <v>1735</v>
      </c>
      <c r="T50" t="s">
        <v>1736</v>
      </c>
      <c r="U50" t="s">
        <v>1737</v>
      </c>
      <c r="V50" t="s">
        <v>1738</v>
      </c>
      <c r="W50" t="s">
        <v>1739</v>
      </c>
      <c r="X50" t="s">
        <v>1740</v>
      </c>
      <c r="Y50" t="s">
        <v>1741</v>
      </c>
      <c r="Z50" t="s">
        <v>1742</v>
      </c>
      <c r="AA50" s="3">
        <v>-116521963598048</v>
      </c>
      <c r="AB50" s="3">
        <v>-13804589121566</v>
      </c>
      <c r="AC50" s="3">
        <v>-150760409465862</v>
      </c>
      <c r="AD50" t="s">
        <v>1743</v>
      </c>
      <c r="AE50" s="3">
        <v>-109641692614893</v>
      </c>
      <c r="AF50" s="3">
        <v>-130985398640298</v>
      </c>
      <c r="AG50" s="3">
        <v>-143458886520316</v>
      </c>
    </row>
    <row r="51" spans="1:33" x14ac:dyDescent="0.25">
      <c r="A51" t="s">
        <v>540</v>
      </c>
      <c r="B51" t="s">
        <v>1744</v>
      </c>
      <c r="C51" t="s">
        <v>1745</v>
      </c>
      <c r="D51" t="s">
        <v>1746</v>
      </c>
      <c r="E51" t="s">
        <v>1747</v>
      </c>
      <c r="F51" t="s">
        <v>1748</v>
      </c>
      <c r="G51" s="3">
        <v>-112190556583318</v>
      </c>
      <c r="H51" s="3">
        <v>-131601745689757</v>
      </c>
      <c r="I51" s="3">
        <v>-150940336630599</v>
      </c>
      <c r="J51" t="s">
        <v>1749</v>
      </c>
      <c r="K51" t="s">
        <v>1750</v>
      </c>
      <c r="L51" t="s">
        <v>1751</v>
      </c>
      <c r="M51" t="s">
        <v>1752</v>
      </c>
      <c r="N51" t="s">
        <v>1753</v>
      </c>
      <c r="O51" t="s">
        <v>1754</v>
      </c>
      <c r="P51" t="s">
        <v>1755</v>
      </c>
      <c r="Q51" t="s">
        <v>1756</v>
      </c>
      <c r="R51" t="s">
        <v>1757</v>
      </c>
      <c r="S51" t="s">
        <v>1758</v>
      </c>
      <c r="T51" t="s">
        <v>1759</v>
      </c>
      <c r="U51" t="s">
        <v>1760</v>
      </c>
      <c r="V51" t="s">
        <v>1761</v>
      </c>
      <c r="W51" t="s">
        <v>1762</v>
      </c>
      <c r="X51" t="s">
        <v>1763</v>
      </c>
      <c r="Y51" t="s">
        <v>1764</v>
      </c>
      <c r="Z51" t="s">
        <v>1765</v>
      </c>
      <c r="AA51" s="3">
        <v>-114774974806635</v>
      </c>
      <c r="AB51" s="3">
        <v>-134239215767297</v>
      </c>
      <c r="AC51" s="3">
        <v>-153710905594836</v>
      </c>
      <c r="AD51" t="s">
        <v>1766</v>
      </c>
      <c r="AE51" s="3">
        <v>-109606138360002</v>
      </c>
      <c r="AF51" s="3">
        <v>-128964275612217</v>
      </c>
      <c r="AG51" s="3">
        <v>-148169767666362</v>
      </c>
    </row>
    <row r="52" spans="1:33" x14ac:dyDescent="0.25">
      <c r="A52" t="s">
        <v>564</v>
      </c>
      <c r="B52" t="s">
        <v>1767</v>
      </c>
      <c r="C52" t="s">
        <v>1768</v>
      </c>
      <c r="D52" t="s">
        <v>1769</v>
      </c>
      <c r="E52" t="s">
        <v>1770</v>
      </c>
      <c r="F52" t="s">
        <v>1771</v>
      </c>
      <c r="G52" s="3">
        <v>-122448536224739</v>
      </c>
      <c r="H52" s="3">
        <v>-128492087965147</v>
      </c>
      <c r="I52" s="3">
        <v>-156424736946474</v>
      </c>
      <c r="J52" t="s">
        <v>1772</v>
      </c>
      <c r="K52" t="s">
        <v>1773</v>
      </c>
      <c r="L52" t="s">
        <v>1774</v>
      </c>
      <c r="M52" t="s">
        <v>1775</v>
      </c>
      <c r="N52" t="s">
        <v>1776</v>
      </c>
      <c r="O52" t="s">
        <v>1777</v>
      </c>
      <c r="P52" t="s">
        <v>1778</v>
      </c>
      <c r="Q52" t="s">
        <v>1779</v>
      </c>
      <c r="R52" t="s">
        <v>1780</v>
      </c>
      <c r="S52" t="s">
        <v>1781</v>
      </c>
      <c r="T52" t="s">
        <v>1782</v>
      </c>
      <c r="U52" t="s">
        <v>1783</v>
      </c>
      <c r="V52" t="s">
        <v>1784</v>
      </c>
      <c r="W52" t="s">
        <v>1785</v>
      </c>
      <c r="X52" t="s">
        <v>1786</v>
      </c>
      <c r="Y52" t="s">
        <v>1787</v>
      </c>
      <c r="Z52" t="s">
        <v>1788</v>
      </c>
      <c r="AA52" s="3">
        <v>-127167475976981</v>
      </c>
      <c r="AB52" s="3">
        <v>-133299935498689</v>
      </c>
      <c r="AC52" s="3">
        <v>-161432791758596</v>
      </c>
      <c r="AD52" t="s">
        <v>1789</v>
      </c>
      <c r="AE52" s="3">
        <v>-117729596472498</v>
      </c>
      <c r="AF52" s="3">
        <v>-123684240431604</v>
      </c>
      <c r="AG52" s="3">
        <v>-151416682134352</v>
      </c>
    </row>
    <row r="53" spans="1:33" x14ac:dyDescent="0.25">
      <c r="A53" t="s">
        <v>588</v>
      </c>
      <c r="B53" t="s">
        <v>1790</v>
      </c>
      <c r="C53" t="s">
        <v>1791</v>
      </c>
      <c r="D53" t="s">
        <v>1792</v>
      </c>
      <c r="E53" t="s">
        <v>1793</v>
      </c>
      <c r="F53" t="s">
        <v>1794</v>
      </c>
      <c r="G53" s="3">
        <v>-122962743547615</v>
      </c>
      <c r="H53" s="3">
        <v>-130204623236563</v>
      </c>
      <c r="I53" s="3">
        <v>-169479193982256</v>
      </c>
      <c r="J53" t="s">
        <v>1795</v>
      </c>
      <c r="K53" t="s">
        <v>1796</v>
      </c>
      <c r="L53" t="s">
        <v>1797</v>
      </c>
      <c r="M53" t="s">
        <v>1798</v>
      </c>
      <c r="N53" t="s">
        <v>1799</v>
      </c>
      <c r="O53" t="s">
        <v>1800</v>
      </c>
      <c r="P53" t="s">
        <v>1801</v>
      </c>
      <c r="Q53" t="s">
        <v>1802</v>
      </c>
      <c r="R53" t="s">
        <v>1803</v>
      </c>
      <c r="S53" t="s">
        <v>1804</v>
      </c>
      <c r="T53" t="s">
        <v>1805</v>
      </c>
      <c r="U53" t="s">
        <v>1806</v>
      </c>
      <c r="V53" t="s">
        <v>1807</v>
      </c>
      <c r="W53" t="s">
        <v>1808</v>
      </c>
      <c r="X53" t="s">
        <v>1809</v>
      </c>
      <c r="Y53" t="s">
        <v>1810</v>
      </c>
      <c r="Z53" t="s">
        <v>1811</v>
      </c>
      <c r="AA53" s="3">
        <v>-135021241626614</v>
      </c>
      <c r="AB53" s="3">
        <v>-143256154616102</v>
      </c>
      <c r="AC53" s="3">
        <v>-181958369756221</v>
      </c>
      <c r="AD53" t="s">
        <v>1812</v>
      </c>
      <c r="AE53" s="3">
        <v>-110904245468616</v>
      </c>
      <c r="AF53" s="3">
        <v>-117153091857023</v>
      </c>
      <c r="AG53" s="3">
        <v>-157000018208292</v>
      </c>
    </row>
    <row r="56" spans="1:33" x14ac:dyDescent="0.25">
      <c r="A56" t="s">
        <v>615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t="s">
        <v>20</v>
      </c>
      <c r="J56" t="s">
        <v>21</v>
      </c>
      <c r="K56" t="s">
        <v>22</v>
      </c>
      <c r="L56" t="s">
        <v>23</v>
      </c>
      <c r="M56" t="s">
        <v>24</v>
      </c>
      <c r="N56" t="s">
        <v>25</v>
      </c>
      <c r="O56" t="s">
        <v>26</v>
      </c>
      <c r="P56" t="s">
        <v>27</v>
      </c>
      <c r="Q56" t="s">
        <v>28</v>
      </c>
      <c r="R56" t="s">
        <v>29</v>
      </c>
      <c r="S56" t="s">
        <v>30</v>
      </c>
      <c r="T56" t="s">
        <v>31</v>
      </c>
      <c r="U56" t="s">
        <v>32</v>
      </c>
      <c r="V56" t="s">
        <v>33</v>
      </c>
      <c r="W56" t="s">
        <v>34</v>
      </c>
      <c r="X56" t="s">
        <v>35</v>
      </c>
      <c r="Y56" t="s">
        <v>36</v>
      </c>
      <c r="Z56" t="s">
        <v>37</v>
      </c>
      <c r="AA56" t="s">
        <v>38</v>
      </c>
      <c r="AB56" t="s">
        <v>39</v>
      </c>
      <c r="AC56" t="s">
        <v>40</v>
      </c>
      <c r="AD56" t="s">
        <v>41</v>
      </c>
      <c r="AE56" t="s">
        <v>42</v>
      </c>
      <c r="AF56" t="s">
        <v>43</v>
      </c>
      <c r="AG56" t="s">
        <v>44</v>
      </c>
    </row>
    <row r="57" spans="1:33" x14ac:dyDescent="0.25">
      <c r="A57" t="s">
        <v>540</v>
      </c>
      <c r="B57" t="s">
        <v>1813</v>
      </c>
      <c r="C57" t="s">
        <v>1814</v>
      </c>
      <c r="D57" t="s">
        <v>1815</v>
      </c>
      <c r="E57" t="s">
        <v>1816</v>
      </c>
      <c r="F57" t="s">
        <v>1817</v>
      </c>
      <c r="G57" s="3">
        <v>-107252992156121</v>
      </c>
      <c r="H57" s="3">
        <v>-129576828764199</v>
      </c>
      <c r="I57" s="3">
        <v>-151801549931804</v>
      </c>
      <c r="J57" t="s">
        <v>1818</v>
      </c>
      <c r="K57" t="s">
        <v>1819</v>
      </c>
      <c r="L57" t="s">
        <v>1820</v>
      </c>
      <c r="M57" t="s">
        <v>1821</v>
      </c>
      <c r="N57" t="s">
        <v>1822</v>
      </c>
      <c r="O57" t="s">
        <v>1823</v>
      </c>
      <c r="P57" t="s">
        <v>1824</v>
      </c>
      <c r="Q57" t="s">
        <v>1825</v>
      </c>
      <c r="R57" t="s">
        <v>1826</v>
      </c>
      <c r="S57" t="s">
        <v>1827</v>
      </c>
      <c r="T57" t="s">
        <v>1828</v>
      </c>
      <c r="U57" t="s">
        <v>1829</v>
      </c>
      <c r="V57" t="s">
        <v>1830</v>
      </c>
      <c r="W57" t="s">
        <v>1831</v>
      </c>
      <c r="X57" t="s">
        <v>1832</v>
      </c>
      <c r="Y57" t="s">
        <v>1833</v>
      </c>
      <c r="Z57" t="s">
        <v>1834</v>
      </c>
      <c r="AA57" s="3">
        <v>-110992324369992</v>
      </c>
      <c r="AB57" s="3">
        <v>-133410878399717</v>
      </c>
      <c r="AC57" s="3">
        <v>-155765808205442</v>
      </c>
      <c r="AD57" t="s">
        <v>1835</v>
      </c>
      <c r="AE57" s="3">
        <v>-103513659942249</v>
      </c>
      <c r="AF57" s="3">
        <v>-125742779128682</v>
      </c>
      <c r="AG57" s="3">
        <v>-147837291658166</v>
      </c>
    </row>
    <row r="58" spans="1:33" x14ac:dyDescent="0.25">
      <c r="A58" t="s">
        <v>564</v>
      </c>
      <c r="B58" t="s">
        <v>1836</v>
      </c>
      <c r="C58" t="s">
        <v>1837</v>
      </c>
      <c r="D58" t="s">
        <v>1838</v>
      </c>
      <c r="E58" t="s">
        <v>1839</v>
      </c>
      <c r="F58" t="s">
        <v>1840</v>
      </c>
      <c r="G58" s="3">
        <v>-112524621922535</v>
      </c>
      <c r="H58" s="3">
        <v>-135310468992386</v>
      </c>
      <c r="I58" s="3">
        <v>-148635080396777</v>
      </c>
      <c r="J58" t="s">
        <v>1841</v>
      </c>
      <c r="K58" t="s">
        <v>1842</v>
      </c>
      <c r="L58" t="s">
        <v>1843</v>
      </c>
      <c r="M58" t="s">
        <v>1844</v>
      </c>
      <c r="N58" t="s">
        <v>1845</v>
      </c>
      <c r="O58" t="s">
        <v>1846</v>
      </c>
      <c r="P58" t="s">
        <v>1847</v>
      </c>
      <c r="Q58" t="s">
        <v>1848</v>
      </c>
      <c r="R58" t="s">
        <v>1849</v>
      </c>
      <c r="S58" t="s">
        <v>1850</v>
      </c>
      <c r="T58" t="s">
        <v>1851</v>
      </c>
      <c r="U58" t="s">
        <v>1852</v>
      </c>
      <c r="V58" t="s">
        <v>1853</v>
      </c>
      <c r="W58" t="s">
        <v>1854</v>
      </c>
      <c r="X58" t="s">
        <v>1855</v>
      </c>
      <c r="Y58" t="s">
        <v>1856</v>
      </c>
      <c r="Z58" t="s">
        <v>1857</v>
      </c>
      <c r="AA58" s="3">
        <v>-114771947301991</v>
      </c>
      <c r="AB58" s="3">
        <v>-137620763182012</v>
      </c>
      <c r="AC58" s="3">
        <v>-151051452000743</v>
      </c>
      <c r="AD58" t="s">
        <v>1858</v>
      </c>
      <c r="AE58" s="3">
        <v>-110277296543079</v>
      </c>
      <c r="AF58" s="3">
        <v>-13300017480276</v>
      </c>
      <c r="AG58" s="3">
        <v>-146218708792812</v>
      </c>
    </row>
    <row r="59" spans="1:33" x14ac:dyDescent="0.25">
      <c r="A59" t="s">
        <v>588</v>
      </c>
      <c r="B59" t="s">
        <v>1859</v>
      </c>
      <c r="C59" t="s">
        <v>1860</v>
      </c>
      <c r="D59" t="s">
        <v>1861</v>
      </c>
      <c r="E59" t="s">
        <v>1862</v>
      </c>
      <c r="F59" t="s">
        <v>1863</v>
      </c>
      <c r="G59" s="3">
        <v>-12647364137384</v>
      </c>
      <c r="H59" s="3">
        <v>-1300569953193</v>
      </c>
      <c r="I59" s="3">
        <v>-151704323403249</v>
      </c>
      <c r="J59" t="s">
        <v>1864</v>
      </c>
      <c r="K59" t="s">
        <v>1865</v>
      </c>
      <c r="L59" t="s">
        <v>1866</v>
      </c>
      <c r="M59" t="s">
        <v>1867</v>
      </c>
      <c r="N59" t="s">
        <v>1868</v>
      </c>
      <c r="O59" t="s">
        <v>1869</v>
      </c>
      <c r="P59" t="s">
        <v>1870</v>
      </c>
      <c r="Q59" t="s">
        <v>1871</v>
      </c>
      <c r="R59" t="s">
        <v>1872</v>
      </c>
      <c r="S59" t="s">
        <v>1873</v>
      </c>
      <c r="T59" t="s">
        <v>1874</v>
      </c>
      <c r="U59" t="s">
        <v>1875</v>
      </c>
      <c r="V59" t="s">
        <v>1876</v>
      </c>
      <c r="W59" t="s">
        <v>1877</v>
      </c>
      <c r="X59" t="s">
        <v>1878</v>
      </c>
      <c r="Y59" t="s">
        <v>1879</v>
      </c>
      <c r="Z59" t="s">
        <v>1880</v>
      </c>
      <c r="AA59" s="3">
        <v>-13042569746229</v>
      </c>
      <c r="AB59" s="3">
        <v>-13408342325197</v>
      </c>
      <c r="AC59" s="3">
        <v>-155965121842117</v>
      </c>
      <c r="AD59" t="s">
        <v>1881</v>
      </c>
      <c r="AE59" s="3">
        <v>-122521585285389</v>
      </c>
      <c r="AF59" s="3">
        <v>-12603056738663</v>
      </c>
      <c r="AG59" s="3">
        <v>-147443524964381</v>
      </c>
    </row>
    <row r="62" spans="1:33" x14ac:dyDescent="0.25">
      <c r="A62" t="s">
        <v>733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20</v>
      </c>
      <c r="J62" t="s">
        <v>21</v>
      </c>
      <c r="K62" t="s">
        <v>22</v>
      </c>
      <c r="L62" t="s">
        <v>23</v>
      </c>
      <c r="M62" t="s">
        <v>24</v>
      </c>
      <c r="N62" t="s">
        <v>25</v>
      </c>
      <c r="O62" t="s">
        <v>26</v>
      </c>
      <c r="P62" t="s">
        <v>27</v>
      </c>
      <c r="Q62" t="s">
        <v>28</v>
      </c>
      <c r="R62" t="s">
        <v>29</v>
      </c>
      <c r="S62" t="s">
        <v>30</v>
      </c>
      <c r="T62" t="s">
        <v>31</v>
      </c>
      <c r="U62" t="s">
        <v>32</v>
      </c>
      <c r="V62" t="s">
        <v>33</v>
      </c>
      <c r="W62" t="s">
        <v>34</v>
      </c>
      <c r="X62" t="s">
        <v>35</v>
      </c>
      <c r="Y62" t="s">
        <v>36</v>
      </c>
      <c r="Z62" t="s">
        <v>37</v>
      </c>
      <c r="AA62" t="s">
        <v>38</v>
      </c>
      <c r="AB62" t="s">
        <v>39</v>
      </c>
      <c r="AC62" t="s">
        <v>40</v>
      </c>
      <c r="AD62" t="s">
        <v>41</v>
      </c>
      <c r="AE62" t="s">
        <v>42</v>
      </c>
      <c r="AF62" t="s">
        <v>43</v>
      </c>
      <c r="AG62" t="s">
        <v>44</v>
      </c>
    </row>
    <row r="63" spans="1:33" x14ac:dyDescent="0.25">
      <c r="A63" t="s">
        <v>734</v>
      </c>
      <c r="B63" t="s">
        <v>1882</v>
      </c>
      <c r="C63" t="s">
        <v>1883</v>
      </c>
      <c r="D63" t="s">
        <v>1884</v>
      </c>
      <c r="E63" t="s">
        <v>1885</v>
      </c>
      <c r="F63" s="3">
        <v>-138740562906673</v>
      </c>
      <c r="G63" t="s">
        <v>1886</v>
      </c>
      <c r="H63" s="3">
        <v>-151952707239263</v>
      </c>
      <c r="I63" s="3">
        <v>-159221311777195</v>
      </c>
      <c r="J63" t="s">
        <v>1887</v>
      </c>
      <c r="K63" t="s">
        <v>1888</v>
      </c>
      <c r="L63" t="s">
        <v>1889</v>
      </c>
      <c r="M63" t="s">
        <v>1890</v>
      </c>
      <c r="N63" t="s">
        <v>1891</v>
      </c>
      <c r="O63" t="s">
        <v>1892</v>
      </c>
      <c r="P63" t="s">
        <v>1893</v>
      </c>
      <c r="Q63" t="s">
        <v>1894</v>
      </c>
      <c r="R63" t="s">
        <v>1895</v>
      </c>
      <c r="S63" t="s">
        <v>1896</v>
      </c>
      <c r="T63" t="s">
        <v>1897</v>
      </c>
      <c r="U63" t="s">
        <v>1898</v>
      </c>
      <c r="V63" t="s">
        <v>1899</v>
      </c>
      <c r="W63" t="s">
        <v>1900</v>
      </c>
      <c r="X63" t="s">
        <v>1901</v>
      </c>
      <c r="Y63" t="s">
        <v>1902</v>
      </c>
      <c r="Z63" s="3">
        <v>-141909038882213</v>
      </c>
      <c r="AA63" t="s">
        <v>1903</v>
      </c>
      <c r="AB63" s="3">
        <v>-155241885662529</v>
      </c>
      <c r="AC63" s="3">
        <v>-16247701328387</v>
      </c>
      <c r="AD63" s="3">
        <v>-135572086931134</v>
      </c>
      <c r="AE63" t="s">
        <v>1904</v>
      </c>
      <c r="AF63" s="3">
        <v>-148663528815998</v>
      </c>
      <c r="AG63" s="3">
        <v>-15596561027052</v>
      </c>
    </row>
    <row r="64" spans="1:33" x14ac:dyDescent="0.25">
      <c r="A64" t="s">
        <v>761</v>
      </c>
      <c r="B64" t="s">
        <v>1905</v>
      </c>
      <c r="C64" t="s">
        <v>1906</v>
      </c>
      <c r="D64" t="s">
        <v>1907</v>
      </c>
      <c r="E64" t="s">
        <v>1908</v>
      </c>
      <c r="F64" t="s">
        <v>1909</v>
      </c>
      <c r="G64" t="s">
        <v>1910</v>
      </c>
      <c r="H64" s="3">
        <v>-110555065719966</v>
      </c>
      <c r="I64" s="3">
        <v>-175299580858651</v>
      </c>
      <c r="J64" t="s">
        <v>1911</v>
      </c>
      <c r="K64" t="s">
        <v>1912</v>
      </c>
      <c r="L64" t="s">
        <v>1913</v>
      </c>
      <c r="M64" t="s">
        <v>1914</v>
      </c>
      <c r="N64" t="s">
        <v>1915</v>
      </c>
      <c r="O64" t="s">
        <v>1916</v>
      </c>
      <c r="P64" t="s">
        <v>1917</v>
      </c>
      <c r="Q64" t="s">
        <v>1918</v>
      </c>
      <c r="R64" t="s">
        <v>1919</v>
      </c>
      <c r="S64" t="s">
        <v>1920</v>
      </c>
      <c r="T64" t="s">
        <v>1921</v>
      </c>
      <c r="U64" t="s">
        <v>1922</v>
      </c>
      <c r="V64" t="s">
        <v>1923</v>
      </c>
      <c r="W64" t="s">
        <v>1924</v>
      </c>
      <c r="X64" t="s">
        <v>1925</v>
      </c>
      <c r="Y64" t="s">
        <v>1926</v>
      </c>
      <c r="Z64" t="s">
        <v>1927</v>
      </c>
      <c r="AA64" t="s">
        <v>1928</v>
      </c>
      <c r="AB64" s="3">
        <v>-113164197603012</v>
      </c>
      <c r="AC64" s="3">
        <v>-178383228052406</v>
      </c>
      <c r="AD64" t="s">
        <v>1929</v>
      </c>
      <c r="AE64" t="s">
        <v>1930</v>
      </c>
      <c r="AF64" s="3">
        <v>-10794593383692</v>
      </c>
      <c r="AG64" s="3">
        <v>-172215933664896</v>
      </c>
    </row>
    <row r="65" spans="1:33" x14ac:dyDescent="0.25">
      <c r="A65" t="s">
        <v>785</v>
      </c>
      <c r="B65" t="s">
        <v>1931</v>
      </c>
      <c r="C65" t="s">
        <v>1932</v>
      </c>
      <c r="D65" t="s">
        <v>1933</v>
      </c>
      <c r="E65" t="s">
        <v>1934</v>
      </c>
      <c r="F65" t="s">
        <v>1935</v>
      </c>
      <c r="G65" s="3">
        <v>-140465608997089</v>
      </c>
      <c r="H65" s="3">
        <v>-125403265114738</v>
      </c>
      <c r="I65" s="3">
        <v>-150007383472066</v>
      </c>
      <c r="J65" t="s">
        <v>1936</v>
      </c>
      <c r="K65" t="s">
        <v>1937</v>
      </c>
      <c r="L65" t="s">
        <v>1938</v>
      </c>
      <c r="M65" t="s">
        <v>1939</v>
      </c>
      <c r="N65" t="s">
        <v>1940</v>
      </c>
      <c r="O65" t="s">
        <v>1941</v>
      </c>
      <c r="P65" t="s">
        <v>1942</v>
      </c>
      <c r="Q65" t="s">
        <v>1943</v>
      </c>
      <c r="R65" t="s">
        <v>1944</v>
      </c>
      <c r="S65" t="s">
        <v>1945</v>
      </c>
      <c r="T65" t="s">
        <v>1946</v>
      </c>
      <c r="U65" t="s">
        <v>1947</v>
      </c>
      <c r="V65" t="s">
        <v>1948</v>
      </c>
      <c r="W65" t="s">
        <v>1949</v>
      </c>
      <c r="X65" t="s">
        <v>1950</v>
      </c>
      <c r="Y65" t="s">
        <v>1951</v>
      </c>
      <c r="Z65" t="s">
        <v>1952</v>
      </c>
      <c r="AA65" s="3">
        <v>-142703732802048</v>
      </c>
      <c r="AB65" s="3">
        <v>-127506755233002</v>
      </c>
      <c r="AC65" s="3">
        <v>-15229455005507</v>
      </c>
      <c r="AD65" t="s">
        <v>1953</v>
      </c>
      <c r="AE65" s="3">
        <v>-138227485192129</v>
      </c>
      <c r="AF65" s="3">
        <v>-123299774996474</v>
      </c>
      <c r="AG65" s="3">
        <v>-147720216889061</v>
      </c>
    </row>
    <row r="66" spans="1:33" x14ac:dyDescent="0.25">
      <c r="A66" t="s">
        <v>809</v>
      </c>
      <c r="B66" t="s">
        <v>1954</v>
      </c>
      <c r="C66" t="s">
        <v>1955</v>
      </c>
      <c r="D66" t="s">
        <v>1956</v>
      </c>
      <c r="E66" t="s">
        <v>1957</v>
      </c>
      <c r="F66" t="s">
        <v>1958</v>
      </c>
      <c r="G66" s="3">
        <v>-263785898470555</v>
      </c>
      <c r="H66" s="3">
        <v>-229045377145803</v>
      </c>
      <c r="I66" s="3">
        <v>-145356333503267</v>
      </c>
      <c r="J66" t="s">
        <v>1959</v>
      </c>
      <c r="K66" t="s">
        <v>1960</v>
      </c>
      <c r="L66" t="s">
        <v>1961</v>
      </c>
      <c r="M66" t="s">
        <v>1962</v>
      </c>
      <c r="N66" t="s">
        <v>1963</v>
      </c>
      <c r="O66" t="s">
        <v>1964</v>
      </c>
      <c r="P66" t="s">
        <v>1965</v>
      </c>
      <c r="Q66" t="s">
        <v>1966</v>
      </c>
      <c r="R66" t="s">
        <v>1967</v>
      </c>
      <c r="S66" t="s">
        <v>1968</v>
      </c>
      <c r="T66" t="s">
        <v>1969</v>
      </c>
      <c r="U66" t="s">
        <v>1970</v>
      </c>
      <c r="V66" t="s">
        <v>1971</v>
      </c>
      <c r="W66" t="s">
        <v>1972</v>
      </c>
      <c r="X66" t="s">
        <v>1973</v>
      </c>
      <c r="Y66" t="s">
        <v>1974</v>
      </c>
      <c r="Z66" t="s">
        <v>1975</v>
      </c>
      <c r="AA66" s="3">
        <v>-269025266105359</v>
      </c>
      <c r="AB66" s="3">
        <v>-234386151679655</v>
      </c>
      <c r="AC66" s="3">
        <v>-149329922786892</v>
      </c>
      <c r="AD66" t="s">
        <v>1976</v>
      </c>
      <c r="AE66" s="3">
        <v>-25854653083575</v>
      </c>
      <c r="AF66" s="3">
        <v>-223704602611951</v>
      </c>
      <c r="AG66" s="3">
        <v>-141382744219641</v>
      </c>
    </row>
    <row r="67" spans="1:33" x14ac:dyDescent="0.25">
      <c r="A67" t="s">
        <v>830</v>
      </c>
      <c r="B67" t="s">
        <v>1977</v>
      </c>
      <c r="C67" t="s">
        <v>1978</v>
      </c>
      <c r="D67" t="s">
        <v>1979</v>
      </c>
      <c r="E67" t="s">
        <v>1980</v>
      </c>
      <c r="F67" t="s">
        <v>1981</v>
      </c>
      <c r="G67" t="s">
        <v>1982</v>
      </c>
      <c r="H67" t="s">
        <v>1983</v>
      </c>
      <c r="I67" s="3">
        <v>-197122230136239</v>
      </c>
      <c r="J67" t="s">
        <v>1984</v>
      </c>
      <c r="K67" t="s">
        <v>1985</v>
      </c>
      <c r="L67" t="s">
        <v>1986</v>
      </c>
      <c r="M67" t="s">
        <v>1987</v>
      </c>
      <c r="N67" t="s">
        <v>1988</v>
      </c>
      <c r="O67" t="s">
        <v>1989</v>
      </c>
      <c r="P67" t="s">
        <v>1990</v>
      </c>
      <c r="Q67" t="s">
        <v>1991</v>
      </c>
      <c r="R67" t="s">
        <v>1992</v>
      </c>
      <c r="S67" t="s">
        <v>1993</v>
      </c>
      <c r="T67" t="s">
        <v>1994</v>
      </c>
      <c r="U67" t="s">
        <v>1995</v>
      </c>
      <c r="V67" t="s">
        <v>1996</v>
      </c>
      <c r="W67" t="s">
        <v>1997</v>
      </c>
      <c r="X67" t="s">
        <v>1998</v>
      </c>
      <c r="Y67" t="s">
        <v>1999</v>
      </c>
      <c r="Z67" s="3">
        <v>-113399305712014</v>
      </c>
      <c r="AA67" s="3">
        <v>-116331433266482</v>
      </c>
      <c r="AB67" s="3">
        <v>-121507781042744</v>
      </c>
      <c r="AC67" s="3">
        <v>-231648346950373</v>
      </c>
      <c r="AD67" t="s">
        <v>2000</v>
      </c>
      <c r="AE67" t="s">
        <v>2001</v>
      </c>
      <c r="AF67" t="s">
        <v>2002</v>
      </c>
      <c r="AG67" s="3">
        <v>-162596113322105</v>
      </c>
    </row>
    <row r="70" spans="1:33" x14ac:dyDescent="0.25">
      <c r="A70" t="s">
        <v>854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20</v>
      </c>
      <c r="J70" t="s">
        <v>21</v>
      </c>
      <c r="K70" t="s">
        <v>22</v>
      </c>
      <c r="L70" t="s">
        <v>23</v>
      </c>
      <c r="M70" t="s">
        <v>24</v>
      </c>
      <c r="N70" t="s">
        <v>25</v>
      </c>
      <c r="O70" t="s">
        <v>26</v>
      </c>
      <c r="P70" t="s">
        <v>27</v>
      </c>
      <c r="Q70" t="s">
        <v>28</v>
      </c>
      <c r="R70" t="s">
        <v>29</v>
      </c>
      <c r="S70" t="s">
        <v>30</v>
      </c>
      <c r="T70" t="s">
        <v>31</v>
      </c>
      <c r="U70" t="s">
        <v>32</v>
      </c>
      <c r="V70" t="s">
        <v>33</v>
      </c>
      <c r="W70" t="s">
        <v>34</v>
      </c>
      <c r="X70" t="s">
        <v>35</v>
      </c>
      <c r="Y70" t="s">
        <v>36</v>
      </c>
      <c r="Z70" t="s">
        <v>37</v>
      </c>
      <c r="AA70" t="s">
        <v>38</v>
      </c>
      <c r="AB70" t="s">
        <v>39</v>
      </c>
      <c r="AC70" t="s">
        <v>40</v>
      </c>
      <c r="AD70" t="s">
        <v>41</v>
      </c>
      <c r="AE70" t="s">
        <v>42</v>
      </c>
      <c r="AF70" t="s">
        <v>43</v>
      </c>
      <c r="AG70" t="s">
        <v>44</v>
      </c>
    </row>
    <row r="71" spans="1:33" x14ac:dyDescent="0.25">
      <c r="A71" t="s">
        <v>855</v>
      </c>
      <c r="B71" t="s">
        <v>2003</v>
      </c>
      <c r="C71" t="s">
        <v>2004</v>
      </c>
      <c r="D71" t="s">
        <v>2005</v>
      </c>
      <c r="E71" t="s">
        <v>2006</v>
      </c>
      <c r="F71" s="3">
        <v>-108056711734682</v>
      </c>
      <c r="G71" t="s">
        <v>2007</v>
      </c>
      <c r="H71" s="3">
        <v>-13644500507534</v>
      </c>
      <c r="I71" s="3">
        <v>-155293240404481</v>
      </c>
      <c r="J71" t="s">
        <v>2008</v>
      </c>
      <c r="K71" t="s">
        <v>2009</v>
      </c>
      <c r="L71" t="s">
        <v>2010</v>
      </c>
      <c r="M71" t="s">
        <v>2011</v>
      </c>
      <c r="N71" t="s">
        <v>2012</v>
      </c>
      <c r="O71" t="s">
        <v>2013</v>
      </c>
      <c r="P71" t="s">
        <v>2014</v>
      </c>
      <c r="Q71" t="s">
        <v>2015</v>
      </c>
      <c r="R71" t="s">
        <v>2016</v>
      </c>
      <c r="S71" t="s">
        <v>2017</v>
      </c>
      <c r="T71" t="s">
        <v>2018</v>
      </c>
      <c r="U71" t="s">
        <v>2019</v>
      </c>
      <c r="V71" t="s">
        <v>2020</v>
      </c>
      <c r="W71" t="s">
        <v>2021</v>
      </c>
      <c r="X71" t="s">
        <v>2022</v>
      </c>
      <c r="Y71" t="s">
        <v>2023</v>
      </c>
      <c r="Z71" s="3">
        <v>-121047153704655</v>
      </c>
      <c r="AA71" t="s">
        <v>2024</v>
      </c>
      <c r="AB71" s="3">
        <v>-150667518788155</v>
      </c>
      <c r="AC71" s="3">
        <v>-173567302290806</v>
      </c>
      <c r="AD71" t="s">
        <v>2025</v>
      </c>
      <c r="AE71" t="s">
        <v>2026</v>
      </c>
      <c r="AF71" s="3">
        <v>-122222491362524</v>
      </c>
      <c r="AG71" s="3">
        <v>-137019178518156</v>
      </c>
    </row>
    <row r="72" spans="1:33" x14ac:dyDescent="0.25">
      <c r="A72" t="s">
        <v>879</v>
      </c>
      <c r="B72" t="s">
        <v>2027</v>
      </c>
      <c r="C72" t="s">
        <v>2028</v>
      </c>
      <c r="D72" t="s">
        <v>2029</v>
      </c>
      <c r="E72" t="s">
        <v>2030</v>
      </c>
      <c r="F72" t="s">
        <v>2031</v>
      </c>
      <c r="G72" s="3">
        <v>-108775728058786</v>
      </c>
      <c r="H72" s="3">
        <v>-132004432896317</v>
      </c>
      <c r="I72" s="3">
        <v>-156610438359792</v>
      </c>
      <c r="J72" t="s">
        <v>2032</v>
      </c>
      <c r="K72" t="s">
        <v>2033</v>
      </c>
      <c r="L72" t="s">
        <v>2034</v>
      </c>
      <c r="M72" t="s">
        <v>2035</v>
      </c>
      <c r="N72" t="s">
        <v>2036</v>
      </c>
      <c r="O72" t="s">
        <v>2037</v>
      </c>
      <c r="P72" t="s">
        <v>2038</v>
      </c>
      <c r="Q72" t="s">
        <v>2039</v>
      </c>
      <c r="R72" t="s">
        <v>2040</v>
      </c>
      <c r="S72" t="s">
        <v>2041</v>
      </c>
      <c r="T72" t="s">
        <v>2042</v>
      </c>
      <c r="U72" t="s">
        <v>2043</v>
      </c>
      <c r="V72" t="s">
        <v>2044</v>
      </c>
      <c r="W72" t="s">
        <v>2045</v>
      </c>
      <c r="X72" t="s">
        <v>2046</v>
      </c>
      <c r="Y72" t="s">
        <v>2047</v>
      </c>
      <c r="Z72" t="s">
        <v>2048</v>
      </c>
      <c r="AA72" s="3">
        <v>-112477425673575</v>
      </c>
      <c r="AB72" s="3">
        <v>-135128422424963</v>
      </c>
      <c r="AC72" s="3">
        <v>-16065113764394</v>
      </c>
      <c r="AD72" t="s">
        <v>2049</v>
      </c>
      <c r="AE72" s="3">
        <v>-105074030443996</v>
      </c>
      <c r="AF72" s="3">
        <v>-128880443367671</v>
      </c>
      <c r="AG72" s="3">
        <v>-152569739075644</v>
      </c>
    </row>
    <row r="73" spans="1:33" x14ac:dyDescent="0.25">
      <c r="A73" t="s">
        <v>903</v>
      </c>
      <c r="B73" t="s">
        <v>2050</v>
      </c>
      <c r="C73" t="s">
        <v>2051</v>
      </c>
      <c r="D73" t="s">
        <v>2052</v>
      </c>
      <c r="E73" t="s">
        <v>2053</v>
      </c>
      <c r="F73" t="s">
        <v>2054</v>
      </c>
      <c r="G73" s="3">
        <v>-127544601284088</v>
      </c>
      <c r="H73" s="3">
        <v>-143579089318528</v>
      </c>
      <c r="I73" s="3">
        <v>-148236743771397</v>
      </c>
      <c r="J73" t="s">
        <v>2055</v>
      </c>
      <c r="K73" t="s">
        <v>2056</v>
      </c>
      <c r="L73" t="s">
        <v>2057</v>
      </c>
      <c r="M73" t="s">
        <v>2058</v>
      </c>
      <c r="N73" t="s">
        <v>2059</v>
      </c>
      <c r="O73" t="s">
        <v>2060</v>
      </c>
      <c r="P73" t="s">
        <v>2061</v>
      </c>
      <c r="Q73" t="s">
        <v>2062</v>
      </c>
      <c r="R73" t="s">
        <v>2063</v>
      </c>
      <c r="S73" t="s">
        <v>2064</v>
      </c>
      <c r="T73" t="s">
        <v>2065</v>
      </c>
      <c r="U73" t="s">
        <v>2066</v>
      </c>
      <c r="V73" t="s">
        <v>2067</v>
      </c>
      <c r="W73" t="s">
        <v>2068</v>
      </c>
      <c r="X73" t="s">
        <v>2069</v>
      </c>
      <c r="Y73" t="s">
        <v>2070</v>
      </c>
      <c r="Z73" t="s">
        <v>2071</v>
      </c>
      <c r="AA73" s="3">
        <v>-135101277140625</v>
      </c>
      <c r="AB73" s="3">
        <v>-150175703532244</v>
      </c>
      <c r="AC73" s="3">
        <v>-156120801855074</v>
      </c>
      <c r="AD73" t="s">
        <v>2072</v>
      </c>
      <c r="AE73" s="3">
        <v>-119987925427551</v>
      </c>
      <c r="AF73" s="3">
        <v>-136982475104813</v>
      </c>
      <c r="AG73" s="3">
        <v>-14035268568772</v>
      </c>
    </row>
    <row r="74" spans="1:33" x14ac:dyDescent="0.25">
      <c r="A74" t="s">
        <v>927</v>
      </c>
      <c r="B74" t="s">
        <v>2073</v>
      </c>
      <c r="C74" t="s">
        <v>2074</v>
      </c>
      <c r="D74" t="s">
        <v>2075</v>
      </c>
      <c r="E74" t="s">
        <v>2076</v>
      </c>
      <c r="F74" t="s">
        <v>2077</v>
      </c>
      <c r="G74" t="s">
        <v>2078</v>
      </c>
      <c r="H74" s="3">
        <v>-136069150330857</v>
      </c>
      <c r="I74" s="3">
        <v>-145368175924262</v>
      </c>
      <c r="J74" t="s">
        <v>2079</v>
      </c>
      <c r="K74" t="s">
        <v>2080</v>
      </c>
      <c r="L74" t="s">
        <v>2081</v>
      </c>
      <c r="M74" t="s">
        <v>2082</v>
      </c>
      <c r="N74" t="s">
        <v>2083</v>
      </c>
      <c r="O74" t="s">
        <v>2084</v>
      </c>
      <c r="P74" t="s">
        <v>2085</v>
      </c>
      <c r="Q74" t="s">
        <v>2086</v>
      </c>
      <c r="R74" t="s">
        <v>2087</v>
      </c>
      <c r="S74" t="s">
        <v>2088</v>
      </c>
      <c r="T74" t="s">
        <v>2089</v>
      </c>
      <c r="U74" t="s">
        <v>2090</v>
      </c>
      <c r="V74" t="s">
        <v>2091</v>
      </c>
      <c r="W74" t="s">
        <v>2092</v>
      </c>
      <c r="X74" t="s">
        <v>2093</v>
      </c>
      <c r="Y74" t="s">
        <v>2094</v>
      </c>
      <c r="Z74" t="s">
        <v>2095</v>
      </c>
      <c r="AA74" t="s">
        <v>2096</v>
      </c>
      <c r="AB74" s="3">
        <v>-139087394041302</v>
      </c>
      <c r="AC74" s="3">
        <v>-14909348121612</v>
      </c>
      <c r="AD74" t="s">
        <v>2097</v>
      </c>
      <c r="AE74" t="s">
        <v>2098</v>
      </c>
      <c r="AF74" s="3">
        <v>-133050906620413</v>
      </c>
      <c r="AG74" s="3">
        <v>-141642870632405</v>
      </c>
    </row>
    <row r="75" spans="1:33" x14ac:dyDescent="0.25">
      <c r="A75" t="s">
        <v>951</v>
      </c>
      <c r="B75" t="s">
        <v>2099</v>
      </c>
      <c r="C75" t="s">
        <v>2100</v>
      </c>
      <c r="D75" t="s">
        <v>2101</v>
      </c>
      <c r="E75" t="s">
        <v>2102</v>
      </c>
      <c r="F75" s="3">
        <v>-130852590533123</v>
      </c>
      <c r="G75" t="s">
        <v>2103</v>
      </c>
      <c r="H75" s="3">
        <v>-184204374965712</v>
      </c>
      <c r="I75" s="3">
        <v>-192872524803976</v>
      </c>
      <c r="J75" t="s">
        <v>2104</v>
      </c>
      <c r="K75" t="s">
        <v>2105</v>
      </c>
      <c r="L75" t="s">
        <v>2106</v>
      </c>
      <c r="M75" t="s">
        <v>2107</v>
      </c>
      <c r="N75" t="s">
        <v>2108</v>
      </c>
      <c r="O75" t="s">
        <v>2109</v>
      </c>
      <c r="P75" t="s">
        <v>2110</v>
      </c>
      <c r="Q75" t="s">
        <v>2111</v>
      </c>
      <c r="R75" t="s">
        <v>2112</v>
      </c>
      <c r="S75" t="s">
        <v>2113</v>
      </c>
      <c r="T75" t="s">
        <v>2114</v>
      </c>
      <c r="U75" t="s">
        <v>2115</v>
      </c>
      <c r="V75" t="s">
        <v>2116</v>
      </c>
      <c r="W75" t="s">
        <v>2117</v>
      </c>
      <c r="X75" t="s">
        <v>2118</v>
      </c>
      <c r="Y75" t="s">
        <v>2119</v>
      </c>
      <c r="Z75" s="3">
        <v>-169140263302411</v>
      </c>
      <c r="AA75" t="s">
        <v>2120</v>
      </c>
      <c r="AB75" s="3">
        <v>-223972714721825</v>
      </c>
      <c r="AC75" s="3">
        <v>-257887056793246</v>
      </c>
      <c r="AD75" t="s">
        <v>2121</v>
      </c>
      <c r="AE75" t="s">
        <v>2122</v>
      </c>
      <c r="AF75" s="3">
        <v>-144436035209599</v>
      </c>
      <c r="AG75" s="3">
        <v>-127857992814707</v>
      </c>
    </row>
    <row r="76" spans="1:33" x14ac:dyDescent="0.25">
      <c r="A76" t="s">
        <v>978</v>
      </c>
      <c r="B76" t="s">
        <v>2123</v>
      </c>
      <c r="C76" t="s">
        <v>2124</v>
      </c>
      <c r="D76" t="s">
        <v>2125</v>
      </c>
      <c r="E76" t="s">
        <v>2126</v>
      </c>
      <c r="F76" t="s">
        <v>2127</v>
      </c>
      <c r="G76" s="3">
        <v>-142630790601791</v>
      </c>
      <c r="H76" s="3">
        <v>-127693696770231</v>
      </c>
      <c r="I76" s="3">
        <v>-154182949116642</v>
      </c>
      <c r="J76" t="s">
        <v>2128</v>
      </c>
      <c r="K76" t="s">
        <v>2129</v>
      </c>
      <c r="L76" t="s">
        <v>2130</v>
      </c>
      <c r="M76" t="s">
        <v>2131</v>
      </c>
      <c r="N76" t="s">
        <v>2132</v>
      </c>
      <c r="O76" t="s">
        <v>2133</v>
      </c>
      <c r="P76" t="s">
        <v>2134</v>
      </c>
      <c r="Q76" t="s">
        <v>2135</v>
      </c>
      <c r="R76" t="s">
        <v>2136</v>
      </c>
      <c r="S76" t="s">
        <v>2137</v>
      </c>
      <c r="T76" t="s">
        <v>2138</v>
      </c>
      <c r="U76" t="s">
        <v>2139</v>
      </c>
      <c r="V76" t="s">
        <v>2140</v>
      </c>
      <c r="W76" t="s">
        <v>2141</v>
      </c>
      <c r="X76" t="s">
        <v>2142</v>
      </c>
      <c r="Y76" t="s">
        <v>2143</v>
      </c>
      <c r="Z76" t="s">
        <v>2144</v>
      </c>
      <c r="AA76" s="3">
        <v>-145472084722679</v>
      </c>
      <c r="AB76" s="3">
        <v>-130154505341196</v>
      </c>
      <c r="AC76" s="3">
        <v>-157172771938881</v>
      </c>
      <c r="AD76" t="s">
        <v>2145</v>
      </c>
      <c r="AE76" s="3">
        <v>-139789496480903</v>
      </c>
      <c r="AF76" s="3">
        <v>-125232888199265</v>
      </c>
      <c r="AG76" s="3">
        <v>-151193126294403</v>
      </c>
    </row>
    <row r="77" spans="1:33" x14ac:dyDescent="0.25">
      <c r="A77" t="s">
        <v>1002</v>
      </c>
      <c r="B77" t="s">
        <v>2146</v>
      </c>
      <c r="C77" t="s">
        <v>2147</v>
      </c>
      <c r="D77" t="s">
        <v>2148</v>
      </c>
      <c r="E77" t="s">
        <v>2149</v>
      </c>
      <c r="F77" s="3">
        <v>-156042397321823</v>
      </c>
      <c r="G77" t="s">
        <v>2150</v>
      </c>
      <c r="H77" s="3">
        <v>-171669884057067</v>
      </c>
      <c r="I77" s="3">
        <v>-132761698979148</v>
      </c>
      <c r="J77" t="s">
        <v>2151</v>
      </c>
      <c r="K77" t="s">
        <v>2152</v>
      </c>
      <c r="L77" t="s">
        <v>2153</v>
      </c>
      <c r="M77" t="s">
        <v>2154</v>
      </c>
      <c r="N77" t="s">
        <v>2155</v>
      </c>
      <c r="O77" t="s">
        <v>2156</v>
      </c>
      <c r="P77" t="s">
        <v>2157</v>
      </c>
      <c r="Q77" t="s">
        <v>2158</v>
      </c>
      <c r="R77" t="s">
        <v>2159</v>
      </c>
      <c r="S77" t="s">
        <v>2160</v>
      </c>
      <c r="T77" t="s">
        <v>2161</v>
      </c>
      <c r="U77" t="s">
        <v>2162</v>
      </c>
      <c r="V77" t="s">
        <v>2163</v>
      </c>
      <c r="W77" t="s">
        <v>2164</v>
      </c>
      <c r="X77" t="s">
        <v>2165</v>
      </c>
      <c r="Y77" t="s">
        <v>2166</v>
      </c>
      <c r="Z77" s="3">
        <v>-166233948443641</v>
      </c>
      <c r="AA77" t="s">
        <v>2167</v>
      </c>
      <c r="AB77" s="3">
        <v>-182283553125838</v>
      </c>
      <c r="AC77" s="3">
        <v>-146069202999251</v>
      </c>
      <c r="AD77" s="3">
        <v>-145850846200005</v>
      </c>
      <c r="AE77" t="s">
        <v>2168</v>
      </c>
      <c r="AF77" s="3">
        <v>-161056214988296</v>
      </c>
      <c r="AG77" s="3">
        <v>-119454194959044</v>
      </c>
    </row>
    <row r="80" spans="1:33" x14ac:dyDescent="0.25">
      <c r="A80" t="s">
        <v>1026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 t="s">
        <v>20</v>
      </c>
      <c r="J80" t="s">
        <v>21</v>
      </c>
      <c r="K80" t="s">
        <v>22</v>
      </c>
      <c r="L80" t="s">
        <v>23</v>
      </c>
      <c r="M80" t="s">
        <v>24</v>
      </c>
      <c r="N80" t="s">
        <v>25</v>
      </c>
      <c r="O80" t="s">
        <v>26</v>
      </c>
      <c r="P80" t="s">
        <v>27</v>
      </c>
      <c r="Q80" t="s">
        <v>28</v>
      </c>
      <c r="R80" t="s">
        <v>29</v>
      </c>
      <c r="S80" t="s">
        <v>30</v>
      </c>
      <c r="T80" t="s">
        <v>31</v>
      </c>
      <c r="U80" t="s">
        <v>32</v>
      </c>
      <c r="V80" t="s">
        <v>33</v>
      </c>
      <c r="W80" t="s">
        <v>34</v>
      </c>
      <c r="X80" t="s">
        <v>35</v>
      </c>
      <c r="Y80" t="s">
        <v>36</v>
      </c>
      <c r="Z80" t="s">
        <v>37</v>
      </c>
      <c r="AA80" t="s">
        <v>38</v>
      </c>
      <c r="AB80" t="s">
        <v>39</v>
      </c>
      <c r="AC80" t="s">
        <v>40</v>
      </c>
      <c r="AD80" t="s">
        <v>41</v>
      </c>
      <c r="AE80" t="s">
        <v>42</v>
      </c>
      <c r="AF80" t="s">
        <v>43</v>
      </c>
      <c r="AG80" t="s">
        <v>44</v>
      </c>
    </row>
    <row r="81" spans="1:33" x14ac:dyDescent="0.25">
      <c r="A81" t="s">
        <v>855</v>
      </c>
      <c r="B81" t="s">
        <v>2169</v>
      </c>
      <c r="C81" t="s">
        <v>2170</v>
      </c>
      <c r="D81" t="s">
        <v>2171</v>
      </c>
      <c r="E81" t="s">
        <v>2172</v>
      </c>
      <c r="F81" s="3">
        <v>-155935127438179</v>
      </c>
      <c r="G81" t="s">
        <v>2173</v>
      </c>
      <c r="H81" s="3">
        <v>-212537356186289</v>
      </c>
      <c r="I81" t="s">
        <v>2174</v>
      </c>
      <c r="J81" t="s">
        <v>2175</v>
      </c>
      <c r="K81" t="s">
        <v>2176</v>
      </c>
      <c r="L81" t="s">
        <v>2177</v>
      </c>
      <c r="M81" t="s">
        <v>2178</v>
      </c>
      <c r="N81" t="s">
        <v>2179</v>
      </c>
      <c r="O81" t="s">
        <v>2180</v>
      </c>
      <c r="P81" t="s">
        <v>2181</v>
      </c>
      <c r="Q81" t="s">
        <v>2182</v>
      </c>
      <c r="R81" t="s">
        <v>2183</v>
      </c>
      <c r="S81" t="s">
        <v>2184</v>
      </c>
      <c r="T81" t="s">
        <v>2185</v>
      </c>
      <c r="U81" t="s">
        <v>2186</v>
      </c>
      <c r="V81" t="s">
        <v>2187</v>
      </c>
      <c r="W81" t="s">
        <v>2188</v>
      </c>
      <c r="X81" t="s">
        <v>2189</v>
      </c>
      <c r="Y81" t="s">
        <v>2190</v>
      </c>
      <c r="Z81" s="3">
        <v>-168903281022355</v>
      </c>
      <c r="AA81" t="s">
        <v>2191</v>
      </c>
      <c r="AB81" s="3">
        <v>-227898790056372</v>
      </c>
      <c r="AC81" t="s">
        <v>2192</v>
      </c>
      <c r="AD81" s="3">
        <v>-142966973854003</v>
      </c>
      <c r="AE81" t="s">
        <v>2193</v>
      </c>
      <c r="AF81" s="3">
        <v>-197175922316207</v>
      </c>
      <c r="AG81" t="s">
        <v>2194</v>
      </c>
    </row>
    <row r="82" spans="1:33" x14ac:dyDescent="0.25">
      <c r="A82" t="s">
        <v>879</v>
      </c>
      <c r="B82" t="s">
        <v>2195</v>
      </c>
      <c r="C82" t="s">
        <v>2196</v>
      </c>
      <c r="D82" t="s">
        <v>2197</v>
      </c>
      <c r="E82" t="s">
        <v>2198</v>
      </c>
      <c r="F82" t="s">
        <v>2199</v>
      </c>
      <c r="G82" s="3">
        <v>-11422709978672</v>
      </c>
      <c r="H82" s="3">
        <v>-133675704680448</v>
      </c>
      <c r="I82" s="3">
        <v>-155735741290908</v>
      </c>
      <c r="J82" t="s">
        <v>2200</v>
      </c>
      <c r="K82" t="s">
        <v>2201</v>
      </c>
      <c r="L82" t="s">
        <v>2202</v>
      </c>
      <c r="M82" t="s">
        <v>2203</v>
      </c>
      <c r="N82" t="s">
        <v>2204</v>
      </c>
      <c r="O82" t="s">
        <v>2205</v>
      </c>
      <c r="P82" t="s">
        <v>2206</v>
      </c>
      <c r="Q82" t="s">
        <v>2207</v>
      </c>
      <c r="R82" t="s">
        <v>2208</v>
      </c>
      <c r="S82" t="s">
        <v>2209</v>
      </c>
      <c r="T82" t="s">
        <v>2210</v>
      </c>
      <c r="U82" t="s">
        <v>2211</v>
      </c>
      <c r="V82" t="s">
        <v>2212</v>
      </c>
      <c r="W82" t="s">
        <v>2213</v>
      </c>
      <c r="X82" t="s">
        <v>2214</v>
      </c>
      <c r="Y82" t="s">
        <v>2215</v>
      </c>
      <c r="Z82" t="s">
        <v>2216</v>
      </c>
      <c r="AA82" s="3">
        <v>-117509769175156</v>
      </c>
      <c r="AB82" s="3">
        <v>-136445629050059</v>
      </c>
      <c r="AC82" s="3">
        <v>-159352715165616</v>
      </c>
      <c r="AD82" t="s">
        <v>2217</v>
      </c>
      <c r="AE82" s="3">
        <v>-110944430398283</v>
      </c>
      <c r="AF82" s="3">
        <v>-130905780310836</v>
      </c>
      <c r="AG82" s="3">
        <v>-1521187674162</v>
      </c>
    </row>
    <row r="83" spans="1:33" x14ac:dyDescent="0.25">
      <c r="A83" t="s">
        <v>903</v>
      </c>
      <c r="B83" t="s">
        <v>2218</v>
      </c>
      <c r="C83" t="s">
        <v>2219</v>
      </c>
      <c r="D83" t="s">
        <v>2220</v>
      </c>
      <c r="E83" t="s">
        <v>2221</v>
      </c>
      <c r="F83" s="3">
        <v>-108124969367283</v>
      </c>
      <c r="G83" t="s">
        <v>2222</v>
      </c>
      <c r="H83" s="3">
        <v>-163868530046492</v>
      </c>
      <c r="I83" s="3">
        <v>-119166315870249</v>
      </c>
      <c r="J83" t="s">
        <v>2223</v>
      </c>
      <c r="K83" t="s">
        <v>2224</v>
      </c>
      <c r="L83" t="s">
        <v>2225</v>
      </c>
      <c r="M83" t="s">
        <v>2226</v>
      </c>
      <c r="N83" t="s">
        <v>2227</v>
      </c>
      <c r="O83" t="s">
        <v>2228</v>
      </c>
      <c r="P83" t="s">
        <v>2229</v>
      </c>
      <c r="Q83" t="s">
        <v>2230</v>
      </c>
      <c r="R83" t="s">
        <v>2231</v>
      </c>
      <c r="S83" t="s">
        <v>2232</v>
      </c>
      <c r="T83" t="s">
        <v>2233</v>
      </c>
      <c r="U83" t="s">
        <v>2234</v>
      </c>
      <c r="V83" t="s">
        <v>2235</v>
      </c>
      <c r="W83" t="s">
        <v>2236</v>
      </c>
      <c r="X83" t="s">
        <v>2237</v>
      </c>
      <c r="Y83" t="s">
        <v>2238</v>
      </c>
      <c r="Z83" s="3">
        <v>-114830332632656</v>
      </c>
      <c r="AA83" t="s">
        <v>2239</v>
      </c>
      <c r="AB83" s="3">
        <v>-171486950892658</v>
      </c>
      <c r="AC83" s="3">
        <v>-127356260856014</v>
      </c>
      <c r="AD83" s="3">
        <v>-10141960610191</v>
      </c>
      <c r="AE83" t="s">
        <v>2240</v>
      </c>
      <c r="AF83" s="3">
        <v>-156250109200326</v>
      </c>
      <c r="AG83" s="3">
        <v>-110976370884484</v>
      </c>
    </row>
    <row r="84" spans="1:33" x14ac:dyDescent="0.25">
      <c r="A84" t="s">
        <v>927</v>
      </c>
      <c r="B84" t="s">
        <v>2241</v>
      </c>
      <c r="C84" t="s">
        <v>2242</v>
      </c>
      <c r="D84" t="s">
        <v>2243</v>
      </c>
      <c r="E84" t="s">
        <v>2244</v>
      </c>
      <c r="F84" t="s">
        <v>2245</v>
      </c>
      <c r="G84" t="s">
        <v>2246</v>
      </c>
      <c r="H84" s="3">
        <v>-14598753171828</v>
      </c>
      <c r="I84" s="3">
        <v>-133478645069259</v>
      </c>
      <c r="J84" t="s">
        <v>2247</v>
      </c>
      <c r="K84" t="s">
        <v>2248</v>
      </c>
      <c r="L84" t="s">
        <v>2249</v>
      </c>
      <c r="M84" t="s">
        <v>2250</v>
      </c>
      <c r="N84" t="s">
        <v>2251</v>
      </c>
      <c r="O84" t="s">
        <v>2252</v>
      </c>
      <c r="P84" t="s">
        <v>2253</v>
      </c>
      <c r="Q84" t="s">
        <v>2254</v>
      </c>
      <c r="R84" t="s">
        <v>2255</v>
      </c>
      <c r="S84" t="s">
        <v>2256</v>
      </c>
      <c r="T84" t="s">
        <v>2257</v>
      </c>
      <c r="U84" t="s">
        <v>2258</v>
      </c>
      <c r="V84" t="s">
        <v>2259</v>
      </c>
      <c r="W84" t="s">
        <v>2260</v>
      </c>
      <c r="X84" t="s">
        <v>2261</v>
      </c>
      <c r="Y84" t="s">
        <v>2262</v>
      </c>
      <c r="Z84" t="s">
        <v>2263</v>
      </c>
      <c r="AA84" t="s">
        <v>2264</v>
      </c>
      <c r="AB84" s="3">
        <v>-149019865350796</v>
      </c>
      <c r="AC84" s="3">
        <v>-137131912119597</v>
      </c>
      <c r="AD84" t="s">
        <v>2265</v>
      </c>
      <c r="AE84" t="s">
        <v>2266</v>
      </c>
      <c r="AF84" s="3">
        <v>-142955198085764</v>
      </c>
      <c r="AG84" s="3">
        <v>-129825378018921</v>
      </c>
    </row>
    <row r="85" spans="1:33" x14ac:dyDescent="0.25">
      <c r="A85" t="s">
        <v>951</v>
      </c>
      <c r="B85" t="s">
        <v>2267</v>
      </c>
      <c r="C85" t="s">
        <v>2268</v>
      </c>
      <c r="D85" t="s">
        <v>2269</v>
      </c>
      <c r="E85" t="s">
        <v>2270</v>
      </c>
      <c r="F85" t="s">
        <v>2271</v>
      </c>
      <c r="G85" s="3">
        <v>-102364802692903</v>
      </c>
      <c r="H85" s="3">
        <v>-130579643978154</v>
      </c>
      <c r="I85" s="3">
        <v>-120226638885449</v>
      </c>
      <c r="J85" t="s">
        <v>2272</v>
      </c>
      <c r="K85" t="s">
        <v>2273</v>
      </c>
      <c r="L85" t="s">
        <v>2274</v>
      </c>
      <c r="M85" t="s">
        <v>2275</v>
      </c>
      <c r="N85" t="s">
        <v>2276</v>
      </c>
      <c r="O85" t="s">
        <v>2277</v>
      </c>
      <c r="P85" t="s">
        <v>2278</v>
      </c>
      <c r="Q85" t="s">
        <v>2279</v>
      </c>
      <c r="R85" t="s">
        <v>2280</v>
      </c>
      <c r="S85" t="s">
        <v>2281</v>
      </c>
      <c r="T85" t="s">
        <v>2282</v>
      </c>
      <c r="U85" t="s">
        <v>2283</v>
      </c>
      <c r="V85" t="s">
        <v>2284</v>
      </c>
      <c r="W85" t="s">
        <v>2285</v>
      </c>
      <c r="X85" t="s">
        <v>2286</v>
      </c>
      <c r="Y85" t="s">
        <v>2287</v>
      </c>
      <c r="Z85" s="3">
        <v>-116191634750519</v>
      </c>
      <c r="AA85" s="3">
        <v>-148047603694867</v>
      </c>
      <c r="AB85" s="3">
        <v>-159463282560758</v>
      </c>
      <c r="AC85" s="3">
        <v>-163865972000375</v>
      </c>
      <c r="AD85" t="s">
        <v>2288</v>
      </c>
      <c r="AE85" t="s">
        <v>2289</v>
      </c>
      <c r="AF85" s="3">
        <v>-10169600539555</v>
      </c>
      <c r="AG85" t="s">
        <v>2290</v>
      </c>
    </row>
    <row r="86" spans="1:33" x14ac:dyDescent="0.25">
      <c r="A86" t="s">
        <v>978</v>
      </c>
      <c r="B86" t="s">
        <v>2291</v>
      </c>
      <c r="C86" t="s">
        <v>2292</v>
      </c>
      <c r="D86" t="s">
        <v>2293</v>
      </c>
      <c r="E86" t="s">
        <v>2294</v>
      </c>
      <c r="F86" t="s">
        <v>2295</v>
      </c>
      <c r="G86" s="3">
        <v>-152006860712096</v>
      </c>
      <c r="H86" s="3">
        <v>-117919214704474</v>
      </c>
      <c r="I86" s="3">
        <v>-17203322252379</v>
      </c>
      <c r="J86" t="s">
        <v>2296</v>
      </c>
      <c r="K86" t="s">
        <v>2297</v>
      </c>
      <c r="L86" t="s">
        <v>2298</v>
      </c>
      <c r="M86" t="s">
        <v>2299</v>
      </c>
      <c r="N86" t="s">
        <v>2300</v>
      </c>
      <c r="O86" t="s">
        <v>2301</v>
      </c>
      <c r="P86" t="s">
        <v>2302</v>
      </c>
      <c r="Q86" t="s">
        <v>2303</v>
      </c>
      <c r="R86" t="s">
        <v>2304</v>
      </c>
      <c r="S86" t="s">
        <v>2305</v>
      </c>
      <c r="T86" t="s">
        <v>2306</v>
      </c>
      <c r="U86" t="s">
        <v>2307</v>
      </c>
      <c r="V86" t="s">
        <v>2308</v>
      </c>
      <c r="W86" t="s">
        <v>2309</v>
      </c>
      <c r="X86" t="s">
        <v>2310</v>
      </c>
      <c r="Y86" t="s">
        <v>2311</v>
      </c>
      <c r="Z86" t="s">
        <v>2312</v>
      </c>
      <c r="AA86" s="3">
        <v>-155240585990063</v>
      </c>
      <c r="AB86" s="3">
        <v>-120579476567838</v>
      </c>
      <c r="AC86" s="3">
        <v>-175452769188897</v>
      </c>
      <c r="AD86" t="s">
        <v>2313</v>
      </c>
      <c r="AE86" s="3">
        <v>-148773135434129</v>
      </c>
      <c r="AF86" s="3">
        <v>-115258952841109</v>
      </c>
      <c r="AG86" s="3">
        <v>-168613675858682</v>
      </c>
    </row>
    <row r="87" spans="1:33" x14ac:dyDescent="0.25">
      <c r="A87" t="s">
        <v>1002</v>
      </c>
      <c r="B87" t="s">
        <v>2314</v>
      </c>
      <c r="C87" t="s">
        <v>2315</v>
      </c>
      <c r="D87" t="s">
        <v>2316</v>
      </c>
      <c r="E87" t="s">
        <v>2317</v>
      </c>
      <c r="F87" t="s">
        <v>2318</v>
      </c>
      <c r="G87" t="s">
        <v>2319</v>
      </c>
      <c r="H87" s="3">
        <v>-141414449337092</v>
      </c>
      <c r="I87" s="3">
        <v>-126443583712505</v>
      </c>
      <c r="J87" t="s">
        <v>2320</v>
      </c>
      <c r="K87" t="s">
        <v>2321</v>
      </c>
      <c r="L87" t="s">
        <v>2322</v>
      </c>
      <c r="M87" t="s">
        <v>2323</v>
      </c>
      <c r="N87" t="s">
        <v>2324</v>
      </c>
      <c r="O87" t="s">
        <v>2325</v>
      </c>
      <c r="P87" t="s">
        <v>2326</v>
      </c>
      <c r="Q87" t="s">
        <v>2327</v>
      </c>
      <c r="R87" t="s">
        <v>2328</v>
      </c>
      <c r="S87" t="s">
        <v>2329</v>
      </c>
      <c r="T87" t="s">
        <v>2330</v>
      </c>
      <c r="U87" t="s">
        <v>2331</v>
      </c>
      <c r="V87" t="s">
        <v>2332</v>
      </c>
      <c r="W87" t="s">
        <v>2333</v>
      </c>
      <c r="X87" t="s">
        <v>2334</v>
      </c>
      <c r="Y87" t="s">
        <v>2335</v>
      </c>
      <c r="Z87" t="s">
        <v>2336</v>
      </c>
      <c r="AA87" t="s">
        <v>2337</v>
      </c>
      <c r="AB87" s="3">
        <v>-150552226230763</v>
      </c>
      <c r="AC87" s="3">
        <v>-138616123139355</v>
      </c>
      <c r="AD87" t="s">
        <v>2338</v>
      </c>
      <c r="AE87" t="s">
        <v>2339</v>
      </c>
      <c r="AF87" s="3">
        <v>-13227667244342</v>
      </c>
      <c r="AG87" s="3">
        <v>-114271044285656</v>
      </c>
    </row>
    <row r="95" spans="1:33" x14ac:dyDescent="0.25">
      <c r="C95" s="5"/>
      <c r="E95" s="5"/>
      <c r="F95" s="3"/>
      <c r="G95" s="3"/>
      <c r="H95" s="3"/>
      <c r="I95" s="3"/>
      <c r="K95" s="5"/>
      <c r="M95" s="5"/>
      <c r="S95" s="5"/>
      <c r="U95" s="5"/>
      <c r="W95" s="5"/>
      <c r="Y95" s="5"/>
      <c r="Z95" s="3"/>
      <c r="AA95" s="3"/>
      <c r="AB95" s="3"/>
      <c r="AC95" s="3"/>
      <c r="AD95" s="3"/>
      <c r="AE95" s="3"/>
      <c r="AF95" s="3"/>
      <c r="AG95" s="3"/>
    </row>
    <row r="96" spans="1:33" x14ac:dyDescent="0.25">
      <c r="C96" s="5"/>
      <c r="F96" s="3"/>
      <c r="G96" s="3"/>
      <c r="H96" s="3"/>
      <c r="I96" s="3"/>
      <c r="K96" s="5"/>
      <c r="M96" s="5"/>
      <c r="S96" s="5"/>
      <c r="W96" s="5"/>
      <c r="Z96" s="3"/>
      <c r="AA96" s="3"/>
      <c r="AB96" s="3"/>
      <c r="AC96" s="3"/>
      <c r="AD96" s="3"/>
      <c r="AE96" s="3"/>
      <c r="AF96" s="3"/>
      <c r="AG96" s="3"/>
    </row>
    <row r="97" spans="6:33" x14ac:dyDescent="0.25">
      <c r="F97" s="3"/>
      <c r="G97" s="3"/>
      <c r="H97" s="3"/>
      <c r="I97" s="3"/>
      <c r="K97" s="5"/>
      <c r="Z97" s="3"/>
      <c r="AA97" s="3"/>
      <c r="AB97" s="3"/>
      <c r="AC97" s="3"/>
      <c r="AD97" s="3"/>
      <c r="AE97" s="3"/>
      <c r="AF97" s="3"/>
      <c r="AG97" s="3"/>
    </row>
    <row r="98" spans="6:33" x14ac:dyDescent="0.25">
      <c r="G98" s="3"/>
      <c r="H98" s="3"/>
      <c r="I98" s="3"/>
      <c r="AA98" s="3"/>
      <c r="AB98" s="3"/>
      <c r="AC98" s="3"/>
      <c r="AE98" s="3"/>
      <c r="AF98" s="3"/>
      <c r="AG98" s="3"/>
    </row>
    <row r="99" spans="6:33" x14ac:dyDescent="0.25">
      <c r="F99" s="3"/>
      <c r="H99" s="3"/>
      <c r="I99" s="3"/>
      <c r="Z99" s="3"/>
      <c r="AB99" s="3"/>
      <c r="AC99" s="3"/>
      <c r="AD99" s="3"/>
      <c r="AF99" s="3"/>
      <c r="AG9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79CB-5032-46F9-9A42-F8E025E783E7}">
  <dimension ref="A2:AG67"/>
  <sheetViews>
    <sheetView workbookViewId="0">
      <selection activeCell="M8" sqref="M8"/>
    </sheetView>
  </sheetViews>
  <sheetFormatPr defaultRowHeight="15" x14ac:dyDescent="0.25"/>
  <sheetData>
    <row r="2" spans="1:33" x14ac:dyDescent="0.25">
      <c r="A2" t="s">
        <v>0</v>
      </c>
    </row>
    <row r="3" spans="1:33" x14ac:dyDescent="0.25">
      <c r="A3" t="s">
        <v>2347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</row>
    <row r="4" spans="1:33" x14ac:dyDescent="0.25">
      <c r="A4" t="s">
        <v>4</v>
      </c>
      <c r="B4" t="s">
        <v>2348</v>
      </c>
      <c r="C4" t="s">
        <v>2349</v>
      </c>
      <c r="D4" t="s">
        <v>2350</v>
      </c>
      <c r="E4" t="s">
        <v>2351</v>
      </c>
      <c r="F4" t="s">
        <v>2352</v>
      </c>
      <c r="G4" s="3">
        <v>-303093281474938</v>
      </c>
      <c r="H4" s="3">
        <v>-301042119814724</v>
      </c>
      <c r="I4" t="s">
        <v>2353</v>
      </c>
      <c r="J4" t="s">
        <v>2354</v>
      </c>
      <c r="K4" t="s">
        <v>2355</v>
      </c>
      <c r="L4" t="s">
        <v>2356</v>
      </c>
      <c r="M4" t="s">
        <v>2357</v>
      </c>
      <c r="N4" t="s">
        <v>2358</v>
      </c>
      <c r="O4" t="s">
        <v>2359</v>
      </c>
      <c r="P4" t="s">
        <v>2360</v>
      </c>
      <c r="Q4" t="s">
        <v>2361</v>
      </c>
      <c r="R4" t="s">
        <v>2362</v>
      </c>
      <c r="S4" t="s">
        <v>2363</v>
      </c>
      <c r="T4" t="s">
        <v>2364</v>
      </c>
      <c r="U4" t="s">
        <v>2365</v>
      </c>
      <c r="V4" t="s">
        <v>2366</v>
      </c>
      <c r="W4" t="s">
        <v>2367</v>
      </c>
      <c r="X4" t="s">
        <v>2368</v>
      </c>
      <c r="Y4" t="s">
        <v>2369</v>
      </c>
      <c r="Z4" t="s">
        <v>2370</v>
      </c>
      <c r="AA4" s="3">
        <v>-307235219208104</v>
      </c>
      <c r="AB4" s="3">
        <v>-305197597769034</v>
      </c>
      <c r="AC4" t="s">
        <v>2371</v>
      </c>
      <c r="AD4" t="s">
        <v>2372</v>
      </c>
      <c r="AE4" s="3">
        <v>-298951343741772</v>
      </c>
      <c r="AF4" s="3">
        <v>-296886641860414</v>
      </c>
      <c r="AG4" t="s">
        <v>2373</v>
      </c>
    </row>
    <row r="5" spans="1:33" x14ac:dyDescent="0.25">
      <c r="A5" t="s">
        <v>5</v>
      </c>
      <c r="B5" t="s">
        <v>2374</v>
      </c>
      <c r="C5" t="s">
        <v>2375</v>
      </c>
      <c r="D5" t="s">
        <v>2376</v>
      </c>
      <c r="E5" t="s">
        <v>2377</v>
      </c>
      <c r="F5" t="s">
        <v>2378</v>
      </c>
      <c r="G5" s="3">
        <v>-230336024556386</v>
      </c>
      <c r="H5" s="3">
        <v>-240730614438831</v>
      </c>
      <c r="I5" t="s">
        <v>2379</v>
      </c>
      <c r="J5" t="s">
        <v>2380</v>
      </c>
      <c r="K5" t="s">
        <v>2381</v>
      </c>
      <c r="L5" t="s">
        <v>2382</v>
      </c>
      <c r="M5" t="s">
        <v>2383</v>
      </c>
      <c r="N5" t="s">
        <v>2384</v>
      </c>
      <c r="O5" t="s">
        <v>2385</v>
      </c>
      <c r="P5" t="s">
        <v>2386</v>
      </c>
      <c r="Q5" t="s">
        <v>2387</v>
      </c>
      <c r="R5" t="s">
        <v>2388</v>
      </c>
      <c r="S5" t="s">
        <v>2389</v>
      </c>
      <c r="T5" t="s">
        <v>2390</v>
      </c>
      <c r="U5" t="s">
        <v>2391</v>
      </c>
      <c r="V5" t="s">
        <v>2392</v>
      </c>
      <c r="W5" t="s">
        <v>2393</v>
      </c>
      <c r="X5" t="s">
        <v>2394</v>
      </c>
      <c r="Y5" t="s">
        <v>2395</v>
      </c>
      <c r="Z5" t="s">
        <v>2396</v>
      </c>
      <c r="AA5" s="3">
        <v>-233707580013721</v>
      </c>
      <c r="AB5" s="3">
        <v>-244287372566828</v>
      </c>
      <c r="AC5" t="s">
        <v>2397</v>
      </c>
      <c r="AD5" t="s">
        <v>2398</v>
      </c>
      <c r="AE5" s="3">
        <v>-22696446909905</v>
      </c>
      <c r="AF5" s="3">
        <v>-237173856310833</v>
      </c>
      <c r="AG5" t="s">
        <v>2399</v>
      </c>
    </row>
    <row r="6" spans="1:33" x14ac:dyDescent="0.25">
      <c r="A6" t="s">
        <v>6</v>
      </c>
      <c r="B6" t="s">
        <v>2400</v>
      </c>
      <c r="C6" t="s">
        <v>2401</v>
      </c>
      <c r="D6" t="s">
        <v>2402</v>
      </c>
      <c r="E6" t="s">
        <v>2403</v>
      </c>
      <c r="F6" t="s">
        <v>2404</v>
      </c>
      <c r="G6" s="3">
        <v>-157986941067569</v>
      </c>
      <c r="H6" s="3">
        <v>-186059234794404</v>
      </c>
      <c r="I6" t="s">
        <v>2405</v>
      </c>
      <c r="J6" t="s">
        <v>2406</v>
      </c>
      <c r="K6" t="s">
        <v>2407</v>
      </c>
      <c r="L6" t="s">
        <v>2408</v>
      </c>
      <c r="M6" t="s">
        <v>2409</v>
      </c>
      <c r="N6" t="s">
        <v>2410</v>
      </c>
      <c r="O6" t="s">
        <v>2411</v>
      </c>
      <c r="P6" t="s">
        <v>2412</v>
      </c>
      <c r="Q6" t="s">
        <v>2413</v>
      </c>
      <c r="R6" t="s">
        <v>2414</v>
      </c>
      <c r="S6" t="s">
        <v>2415</v>
      </c>
      <c r="T6" t="s">
        <v>2416</v>
      </c>
      <c r="U6" t="s">
        <v>2417</v>
      </c>
      <c r="V6" t="s">
        <v>2418</v>
      </c>
      <c r="W6" t="s">
        <v>2419</v>
      </c>
      <c r="X6" t="s">
        <v>2420</v>
      </c>
      <c r="Y6" t="s">
        <v>2421</v>
      </c>
      <c r="Z6" t="s">
        <v>2422</v>
      </c>
      <c r="AA6" s="3">
        <v>-161151572187088</v>
      </c>
      <c r="AB6" s="3">
        <v>-189467543006065</v>
      </c>
      <c r="AC6" t="s">
        <v>2423</v>
      </c>
      <c r="AD6" t="s">
        <v>2424</v>
      </c>
      <c r="AE6" s="3">
        <v>-15482230994805</v>
      </c>
      <c r="AF6" s="3">
        <v>-182650926582743</v>
      </c>
      <c r="AG6" t="s">
        <v>2425</v>
      </c>
    </row>
    <row r="8" spans="1:33" x14ac:dyDescent="0.25">
      <c r="A8" t="s">
        <v>1</v>
      </c>
    </row>
    <row r="9" spans="1:33" x14ac:dyDescent="0.25">
      <c r="A9" t="s">
        <v>2347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  <c r="M9" t="s">
        <v>24</v>
      </c>
      <c r="N9" t="s">
        <v>25</v>
      </c>
      <c r="O9" t="s">
        <v>26</v>
      </c>
      <c r="P9" t="s">
        <v>27</v>
      </c>
      <c r="Q9" t="s">
        <v>28</v>
      </c>
      <c r="R9" t="s">
        <v>29</v>
      </c>
      <c r="S9" t="s">
        <v>30</v>
      </c>
      <c r="T9" t="s">
        <v>31</v>
      </c>
      <c r="U9" t="s">
        <v>32</v>
      </c>
      <c r="V9" t="s">
        <v>33</v>
      </c>
      <c r="W9" t="s">
        <v>34</v>
      </c>
      <c r="X9" t="s">
        <v>35</v>
      </c>
      <c r="Y9" t="s">
        <v>36</v>
      </c>
      <c r="Z9" t="s">
        <v>37</v>
      </c>
      <c r="AA9" t="s">
        <v>38</v>
      </c>
      <c r="AB9" t="s">
        <v>39</v>
      </c>
      <c r="AC9" t="s">
        <v>40</v>
      </c>
      <c r="AD9" t="s">
        <v>41</v>
      </c>
      <c r="AE9" t="s">
        <v>42</v>
      </c>
      <c r="AF9" t="s">
        <v>43</v>
      </c>
      <c r="AG9" t="s">
        <v>44</v>
      </c>
    </row>
    <row r="10" spans="1:33" x14ac:dyDescent="0.25">
      <c r="A10" t="s">
        <v>4</v>
      </c>
      <c r="B10" t="s">
        <v>2426</v>
      </c>
      <c r="C10" t="s">
        <v>2427</v>
      </c>
      <c r="D10" t="s">
        <v>2428</v>
      </c>
      <c r="E10" t="s">
        <v>2429</v>
      </c>
      <c r="F10" s="3">
        <v>136320337346842</v>
      </c>
      <c r="G10" s="3">
        <v>-415620535352884</v>
      </c>
      <c r="H10" s="3">
        <v>-25662731284743</v>
      </c>
      <c r="I10" s="3">
        <v>-202159550328814</v>
      </c>
      <c r="J10" t="s">
        <v>2430</v>
      </c>
      <c r="K10" t="s">
        <v>2431</v>
      </c>
      <c r="L10" t="s">
        <v>2432</v>
      </c>
      <c r="M10" t="s">
        <v>2433</v>
      </c>
      <c r="N10" t="s">
        <v>2434</v>
      </c>
      <c r="O10" t="s">
        <v>2435</v>
      </c>
      <c r="P10" t="s">
        <v>2436</v>
      </c>
      <c r="Q10" t="s">
        <v>2437</v>
      </c>
      <c r="R10" t="s">
        <v>2438</v>
      </c>
      <c r="S10" t="s">
        <v>2439</v>
      </c>
      <c r="T10" t="s">
        <v>2440</v>
      </c>
      <c r="U10" t="s">
        <v>2441</v>
      </c>
      <c r="V10" t="s">
        <v>2442</v>
      </c>
      <c r="W10" t="s">
        <v>2443</v>
      </c>
      <c r="X10" t="s">
        <v>2444</v>
      </c>
      <c r="Y10" t="s">
        <v>2445</v>
      </c>
      <c r="Z10" s="3">
        <v>134064448770889</v>
      </c>
      <c r="AA10" s="3">
        <v>-421725274966342</v>
      </c>
      <c r="AB10" s="3">
        <v>-260026294427579</v>
      </c>
      <c r="AC10" s="3">
        <v>-205031655351696</v>
      </c>
      <c r="AD10" s="3">
        <v>138576225922795</v>
      </c>
      <c r="AE10" s="3">
        <v>-409515795739426</v>
      </c>
      <c r="AF10" s="3">
        <v>-253228331267282</v>
      </c>
      <c r="AG10" s="3">
        <v>-199287445305933</v>
      </c>
    </row>
    <row r="11" spans="1:33" x14ac:dyDescent="0.25">
      <c r="A11" t="s">
        <v>5</v>
      </c>
      <c r="B11" t="s">
        <v>2446</v>
      </c>
      <c r="C11" t="s">
        <v>2447</v>
      </c>
      <c r="D11" t="s">
        <v>2448</v>
      </c>
      <c r="E11" t="s">
        <v>2449</v>
      </c>
      <c r="F11" t="s">
        <v>2450</v>
      </c>
      <c r="G11" s="3">
        <v>-349356899630138</v>
      </c>
      <c r="H11" s="3">
        <v>-185544874389718</v>
      </c>
      <c r="I11" s="3">
        <v>-214041189659964</v>
      </c>
      <c r="J11" t="s">
        <v>2451</v>
      </c>
      <c r="K11" t="s">
        <v>2452</v>
      </c>
      <c r="L11" t="s">
        <v>2453</v>
      </c>
      <c r="M11" t="s">
        <v>2454</v>
      </c>
      <c r="N11" t="s">
        <v>2455</v>
      </c>
      <c r="O11" t="s">
        <v>2456</v>
      </c>
      <c r="P11" t="s">
        <v>2457</v>
      </c>
      <c r="Q11" t="s">
        <v>2458</v>
      </c>
      <c r="R11" t="s">
        <v>2459</v>
      </c>
      <c r="S11" t="s">
        <v>2460</v>
      </c>
      <c r="T11" t="s">
        <v>2461</v>
      </c>
      <c r="U11" t="s">
        <v>2462</v>
      </c>
      <c r="V11" t="s">
        <v>2463</v>
      </c>
      <c r="W11" t="s">
        <v>2464</v>
      </c>
      <c r="X11" t="s">
        <v>2465</v>
      </c>
      <c r="Y11" t="s">
        <v>2466</v>
      </c>
      <c r="Z11" t="s">
        <v>2467</v>
      </c>
      <c r="AA11" s="3">
        <v>-354451880478739</v>
      </c>
      <c r="AB11" s="3">
        <v>-188367427609045</v>
      </c>
      <c r="AC11" s="3">
        <v>-217104340817214</v>
      </c>
      <c r="AD11" s="3">
        <v>10165579047219</v>
      </c>
      <c r="AE11" s="3">
        <v>-344261918781538</v>
      </c>
      <c r="AF11" s="3">
        <v>-182722321170391</v>
      </c>
      <c r="AG11" s="3">
        <v>-210978038502713</v>
      </c>
    </row>
    <row r="12" spans="1:33" x14ac:dyDescent="0.25">
      <c r="A12" t="s">
        <v>6</v>
      </c>
      <c r="B12" t="s">
        <v>2468</v>
      </c>
      <c r="C12" t="s">
        <v>2469</v>
      </c>
      <c r="D12" t="s">
        <v>2470</v>
      </c>
      <c r="E12" t="s">
        <v>2471</v>
      </c>
      <c r="F12" t="s">
        <v>2472</v>
      </c>
      <c r="G12" s="3">
        <v>-283982921121932</v>
      </c>
      <c r="H12" s="3">
        <v>-116407850257956</v>
      </c>
      <c r="I12" s="3">
        <v>-233115276897744</v>
      </c>
      <c r="J12" t="s">
        <v>2473</v>
      </c>
      <c r="K12" t="s">
        <v>2474</v>
      </c>
      <c r="L12" t="s">
        <v>2475</v>
      </c>
      <c r="M12" t="s">
        <v>2476</v>
      </c>
      <c r="N12" t="s">
        <v>2477</v>
      </c>
      <c r="O12" t="s">
        <v>2478</v>
      </c>
      <c r="P12" t="s">
        <v>2479</v>
      </c>
      <c r="Q12" t="s">
        <v>2480</v>
      </c>
      <c r="R12" t="s">
        <v>2481</v>
      </c>
      <c r="S12" t="s">
        <v>2482</v>
      </c>
      <c r="T12" t="s">
        <v>2483</v>
      </c>
      <c r="U12" t="s">
        <v>2484</v>
      </c>
      <c r="V12" t="s">
        <v>2485</v>
      </c>
      <c r="W12" t="s">
        <v>2486</v>
      </c>
      <c r="X12" t="s">
        <v>2487</v>
      </c>
      <c r="Y12" t="s">
        <v>2488</v>
      </c>
      <c r="Z12" t="s">
        <v>2489</v>
      </c>
      <c r="AA12" s="3">
        <v>-288786350874706</v>
      </c>
      <c r="AB12" s="3">
        <v>-119107555432346</v>
      </c>
      <c r="AC12" s="3">
        <v>-236629248812297</v>
      </c>
      <c r="AD12" t="s">
        <v>2490</v>
      </c>
      <c r="AE12" s="3">
        <v>-279179491369159</v>
      </c>
      <c r="AF12" s="3">
        <v>-113708145083567</v>
      </c>
      <c r="AG12" s="3">
        <v>-229601304983191</v>
      </c>
    </row>
    <row r="14" spans="1:33" x14ac:dyDescent="0.25">
      <c r="A14" t="s">
        <v>2</v>
      </c>
    </row>
    <row r="15" spans="1:33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</row>
    <row r="16" spans="1:33" x14ac:dyDescent="0.25">
      <c r="A16" t="s">
        <v>4</v>
      </c>
      <c r="B16" t="s">
        <v>2491</v>
      </c>
      <c r="C16" t="s">
        <v>2492</v>
      </c>
      <c r="D16" t="s">
        <v>2493</v>
      </c>
      <c r="E16" t="s">
        <v>2494</v>
      </c>
      <c r="F16" t="s">
        <v>2495</v>
      </c>
      <c r="G16" s="3">
        <v>-323351312464555</v>
      </c>
      <c r="H16" s="3">
        <v>-151491240309859</v>
      </c>
      <c r="I16" s="3">
        <v>-227283930441487</v>
      </c>
      <c r="J16" t="s">
        <v>2496</v>
      </c>
      <c r="K16" t="s">
        <v>2497</v>
      </c>
      <c r="L16" t="s">
        <v>2498</v>
      </c>
      <c r="M16" t="s">
        <v>2499</v>
      </c>
      <c r="N16" t="s">
        <v>2500</v>
      </c>
      <c r="O16" t="s">
        <v>2501</v>
      </c>
      <c r="P16" t="s">
        <v>2502</v>
      </c>
      <c r="Q16" t="s">
        <v>2503</v>
      </c>
      <c r="R16" t="s">
        <v>2504</v>
      </c>
      <c r="S16" t="s">
        <v>2505</v>
      </c>
      <c r="T16" t="s">
        <v>2506</v>
      </c>
      <c r="U16" t="s">
        <v>2507</v>
      </c>
      <c r="V16" t="s">
        <v>2508</v>
      </c>
      <c r="W16" t="s">
        <v>2509</v>
      </c>
      <c r="X16" t="s">
        <v>2510</v>
      </c>
      <c r="Y16" t="s">
        <v>2511</v>
      </c>
      <c r="Z16" t="s">
        <v>2512</v>
      </c>
      <c r="AA16" s="3">
        <v>-32747613735062</v>
      </c>
      <c r="AB16" s="3">
        <v>-153980940994689</v>
      </c>
      <c r="AC16" s="3">
        <v>-230782861310871</v>
      </c>
      <c r="AD16" t="s">
        <v>2513</v>
      </c>
      <c r="AE16" s="3">
        <v>-31922648757849</v>
      </c>
      <c r="AF16" s="3">
        <v>-149001539625028</v>
      </c>
      <c r="AG16" s="3">
        <v>-223784999572102</v>
      </c>
    </row>
    <row r="17" spans="1:33" x14ac:dyDescent="0.25">
      <c r="A17" t="s">
        <v>5</v>
      </c>
      <c r="B17" t="s">
        <v>2514</v>
      </c>
      <c r="C17" t="s">
        <v>2515</v>
      </c>
      <c r="D17" t="s">
        <v>2516</v>
      </c>
      <c r="E17" t="s">
        <v>2517</v>
      </c>
      <c r="F17" t="s">
        <v>2518</v>
      </c>
      <c r="G17" s="3">
        <v>-239260032846902</v>
      </c>
      <c r="H17" t="s">
        <v>2519</v>
      </c>
      <c r="I17" s="3">
        <v>-287497411443889</v>
      </c>
      <c r="J17" t="s">
        <v>2520</v>
      </c>
      <c r="K17" t="s">
        <v>2521</v>
      </c>
      <c r="L17" t="s">
        <v>2522</v>
      </c>
      <c r="M17" t="s">
        <v>2523</v>
      </c>
      <c r="N17" t="s">
        <v>2524</v>
      </c>
      <c r="O17" t="s">
        <v>2525</v>
      </c>
      <c r="P17" t="s">
        <v>2526</v>
      </c>
      <c r="Q17" t="s">
        <v>2527</v>
      </c>
      <c r="R17" t="s">
        <v>2528</v>
      </c>
      <c r="S17" t="s">
        <v>2529</v>
      </c>
      <c r="T17" t="s">
        <v>2530</v>
      </c>
      <c r="U17" t="s">
        <v>2531</v>
      </c>
      <c r="V17" t="s">
        <v>2532</v>
      </c>
      <c r="W17" t="s">
        <v>2533</v>
      </c>
      <c r="X17" t="s">
        <v>2534</v>
      </c>
      <c r="Y17" t="s">
        <v>2535</v>
      </c>
      <c r="Z17" t="s">
        <v>2536</v>
      </c>
      <c r="AA17" s="3">
        <v>-242480581836931</v>
      </c>
      <c r="AB17" t="s">
        <v>2537</v>
      </c>
      <c r="AC17" s="3">
        <v>-291439361453806</v>
      </c>
      <c r="AD17" t="s">
        <v>2538</v>
      </c>
      <c r="AE17" s="3">
        <v>-236039483856873</v>
      </c>
      <c r="AF17" t="s">
        <v>2539</v>
      </c>
      <c r="AG17" s="3">
        <v>-283555461433973</v>
      </c>
    </row>
    <row r="18" spans="1:33" x14ac:dyDescent="0.25">
      <c r="A18" t="s">
        <v>6</v>
      </c>
      <c r="B18" t="s">
        <v>2540</v>
      </c>
      <c r="C18" t="s">
        <v>2541</v>
      </c>
      <c r="D18" t="s">
        <v>2542</v>
      </c>
      <c r="E18" t="s">
        <v>2543</v>
      </c>
      <c r="F18" t="s">
        <v>2544</v>
      </c>
      <c r="G18" s="3">
        <v>-19678514434311</v>
      </c>
      <c r="H18" t="s">
        <v>2545</v>
      </c>
      <c r="I18" s="3">
        <v>-374619055551912</v>
      </c>
      <c r="J18" t="s">
        <v>2546</v>
      </c>
      <c r="K18" t="s">
        <v>2547</v>
      </c>
      <c r="L18" t="s">
        <v>2548</v>
      </c>
      <c r="M18" t="s">
        <v>2549</v>
      </c>
      <c r="N18" t="s">
        <v>2550</v>
      </c>
      <c r="O18" t="s">
        <v>2551</v>
      </c>
      <c r="P18" t="s">
        <v>2552</v>
      </c>
      <c r="Q18" t="s">
        <v>2553</v>
      </c>
      <c r="R18" t="s">
        <v>2554</v>
      </c>
      <c r="S18" t="s">
        <v>2555</v>
      </c>
      <c r="T18" t="s">
        <v>2556</v>
      </c>
      <c r="U18" t="s">
        <v>2557</v>
      </c>
      <c r="V18" t="s">
        <v>2558</v>
      </c>
      <c r="W18" t="s">
        <v>2559</v>
      </c>
      <c r="X18" t="s">
        <v>2560</v>
      </c>
      <c r="Y18" t="s">
        <v>2561</v>
      </c>
      <c r="Z18" t="s">
        <v>2562</v>
      </c>
      <c r="AA18" s="3">
        <v>-199936018226027</v>
      </c>
      <c r="AB18" t="s">
        <v>2563</v>
      </c>
      <c r="AC18" s="3">
        <v>-380202231969809</v>
      </c>
      <c r="AD18" t="s">
        <v>2564</v>
      </c>
      <c r="AE18" s="3">
        <v>-193634270460193</v>
      </c>
      <c r="AF18" t="s">
        <v>2565</v>
      </c>
      <c r="AG18" s="3">
        <v>-369035879134014</v>
      </c>
    </row>
    <row r="21" spans="1:33" x14ac:dyDescent="0.25">
      <c r="A21" t="s">
        <v>0</v>
      </c>
    </row>
    <row r="22" spans="1:33" x14ac:dyDescent="0.25">
      <c r="A22" t="s">
        <v>1475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t="s">
        <v>21</v>
      </c>
      <c r="K22" t="s">
        <v>22</v>
      </c>
      <c r="L22" t="s">
        <v>23</v>
      </c>
      <c r="M22" t="s">
        <v>24</v>
      </c>
      <c r="N22" t="s">
        <v>25</v>
      </c>
      <c r="O22" t="s">
        <v>26</v>
      </c>
      <c r="P22" t="s">
        <v>27</v>
      </c>
      <c r="Q22" t="s">
        <v>28</v>
      </c>
      <c r="R22" t="s">
        <v>29</v>
      </c>
      <c r="S22" t="s">
        <v>30</v>
      </c>
      <c r="T22" t="s">
        <v>31</v>
      </c>
      <c r="U22" t="s">
        <v>32</v>
      </c>
      <c r="V22" t="s">
        <v>33</v>
      </c>
      <c r="W22" t="s">
        <v>34</v>
      </c>
      <c r="X22" t="s">
        <v>35</v>
      </c>
      <c r="Y22" t="s">
        <v>36</v>
      </c>
      <c r="Z22" t="s">
        <v>37</v>
      </c>
      <c r="AA22" t="s">
        <v>38</v>
      </c>
      <c r="AB22" t="s">
        <v>39</v>
      </c>
      <c r="AC22" t="s">
        <v>40</v>
      </c>
      <c r="AD22" t="s">
        <v>41</v>
      </c>
      <c r="AE22" t="s">
        <v>42</v>
      </c>
      <c r="AF22" t="s">
        <v>43</v>
      </c>
      <c r="AG22" t="s">
        <v>44</v>
      </c>
    </row>
    <row r="23" spans="1:33" x14ac:dyDescent="0.25">
      <c r="A23">
        <v>-3</v>
      </c>
      <c r="B23" t="s">
        <v>2580</v>
      </c>
      <c r="C23" s="5">
        <v>461224200.76638198</v>
      </c>
      <c r="D23" t="s">
        <v>2581</v>
      </c>
      <c r="E23" s="5">
        <v>2059280638.0771501</v>
      </c>
      <c r="F23" s="3">
        <v>280166872702824</v>
      </c>
      <c r="G23" s="3">
        <v>-122867918712071</v>
      </c>
      <c r="H23" s="3">
        <v>-280213594429332</v>
      </c>
      <c r="I23" s="3">
        <v>-107905481549534</v>
      </c>
      <c r="J23" t="s">
        <v>2582</v>
      </c>
      <c r="K23" s="5">
        <v>56120771.509444296</v>
      </c>
      <c r="L23" t="s">
        <v>2583</v>
      </c>
      <c r="M23" s="5">
        <v>175269473.22089201</v>
      </c>
      <c r="N23" t="s">
        <v>2584</v>
      </c>
      <c r="O23" t="s">
        <v>2585</v>
      </c>
      <c r="P23" t="s">
        <v>2586</v>
      </c>
      <c r="Q23" t="s">
        <v>2587</v>
      </c>
      <c r="R23" t="s">
        <v>2588</v>
      </c>
      <c r="S23" s="5">
        <v>36336212.454530999</v>
      </c>
      <c r="T23" t="s">
        <v>2589</v>
      </c>
      <c r="U23" s="5">
        <v>1742881905.34076</v>
      </c>
      <c r="V23" t="s">
        <v>2590</v>
      </c>
      <c r="W23" s="5">
        <v>585442711.09932697</v>
      </c>
      <c r="X23" t="s">
        <v>2591</v>
      </c>
      <c r="Y23" s="5">
        <v>2433116264.2600098</v>
      </c>
      <c r="Z23" s="3">
        <v>258867412980592</v>
      </c>
      <c r="AA23" s="3">
        <v>-125252771850411</v>
      </c>
      <c r="AB23" s="3">
        <v>-301520805093495</v>
      </c>
      <c r="AC23" s="3">
        <v>-109573680254339</v>
      </c>
      <c r="AD23" s="3">
        <v>301466332425055</v>
      </c>
      <c r="AE23" s="3">
        <v>-120483065573732</v>
      </c>
      <c r="AF23" s="3">
        <v>-25890638376517</v>
      </c>
      <c r="AG23" s="3">
        <v>-10623728284473</v>
      </c>
    </row>
    <row r="24" spans="1:33" x14ac:dyDescent="0.25">
      <c r="A24" t="s">
        <v>1488</v>
      </c>
      <c r="B24" t="s">
        <v>2592</v>
      </c>
      <c r="C24" s="5">
        <v>8956585564.3936501</v>
      </c>
      <c r="D24" t="s">
        <v>2593</v>
      </c>
      <c r="E24" t="s">
        <v>2594</v>
      </c>
      <c r="F24" s="3">
        <v>251845807483621</v>
      </c>
      <c r="G24" s="3">
        <v>-932044681614666</v>
      </c>
      <c r="H24" s="3">
        <v>-25253897680666</v>
      </c>
      <c r="I24" s="3">
        <v>-785565916860854</v>
      </c>
      <c r="J24" t="s">
        <v>2595</v>
      </c>
      <c r="K24" s="5">
        <v>7884245.9368709996</v>
      </c>
      <c r="L24" t="s">
        <v>2596</v>
      </c>
      <c r="M24" s="5">
        <v>2367603911.14007</v>
      </c>
      <c r="N24" t="s">
        <v>2597</v>
      </c>
      <c r="O24" t="s">
        <v>2598</v>
      </c>
      <c r="P24" t="s">
        <v>2599</v>
      </c>
      <c r="Q24" t="s">
        <v>2600</v>
      </c>
      <c r="R24" t="s">
        <v>2601</v>
      </c>
      <c r="S24" s="5">
        <v>7537249754.3668499</v>
      </c>
      <c r="T24" t="s">
        <v>2602</v>
      </c>
      <c r="U24" t="s">
        <v>2603</v>
      </c>
      <c r="V24" t="s">
        <v>2604</v>
      </c>
      <c r="W24" t="s">
        <v>2605</v>
      </c>
      <c r="X24" t="s">
        <v>2606</v>
      </c>
      <c r="Y24" t="s">
        <v>2607</v>
      </c>
      <c r="Z24" s="3">
        <v>236760110569186</v>
      </c>
      <c r="AA24" s="3">
        <v>-949299272821387</v>
      </c>
      <c r="AB24" s="3">
        <v>-267704423770266</v>
      </c>
      <c r="AC24" s="3">
        <v>-797548849749458</v>
      </c>
      <c r="AD24" s="3">
        <v>266931504398057</v>
      </c>
      <c r="AE24" s="3">
        <v>-914790090407946</v>
      </c>
      <c r="AF24" s="3">
        <v>-237373529843053</v>
      </c>
      <c r="AG24" s="3">
        <v>-773582983972251</v>
      </c>
    </row>
    <row r="25" spans="1:33" x14ac:dyDescent="0.25">
      <c r="A25">
        <v>3</v>
      </c>
      <c r="B25" t="s">
        <v>2608</v>
      </c>
      <c r="C25" t="s">
        <v>2609</v>
      </c>
      <c r="D25" t="s">
        <v>2610</v>
      </c>
      <c r="E25" t="s">
        <v>2611</v>
      </c>
      <c r="F25" s="3">
        <v>218033148810164</v>
      </c>
      <c r="G25" s="3">
        <v>-649988670403663</v>
      </c>
      <c r="H25" s="3">
        <v>-226892797403316</v>
      </c>
      <c r="I25" s="3">
        <v>-506087007727882</v>
      </c>
      <c r="J25" t="s">
        <v>2612</v>
      </c>
      <c r="K25" s="5">
        <v>8423831674.3274698</v>
      </c>
      <c r="L25" t="s">
        <v>2613</v>
      </c>
      <c r="M25" t="s">
        <v>2614</v>
      </c>
      <c r="N25" t="s">
        <v>2615</v>
      </c>
      <c r="O25" t="s">
        <v>2616</v>
      </c>
      <c r="P25" t="s">
        <v>2617</v>
      </c>
      <c r="Q25" t="s">
        <v>2618</v>
      </c>
      <c r="R25" t="s">
        <v>2619</v>
      </c>
      <c r="S25" t="s">
        <v>2620</v>
      </c>
      <c r="T25" t="s">
        <v>2621</v>
      </c>
      <c r="U25" t="s">
        <v>2622</v>
      </c>
      <c r="V25" t="s">
        <v>2623</v>
      </c>
      <c r="W25" t="s">
        <v>2624</v>
      </c>
      <c r="X25" t="s">
        <v>2625</v>
      </c>
      <c r="Y25" t="s">
        <v>2626</v>
      </c>
      <c r="Z25" s="3">
        <v>209254270754499</v>
      </c>
      <c r="AA25" s="3">
        <v>-66100223079413</v>
      </c>
      <c r="AB25" s="3">
        <v>-236246301988734</v>
      </c>
      <c r="AC25" s="3">
        <v>-513627243804838</v>
      </c>
      <c r="AD25" s="3">
        <v>226812026865829</v>
      </c>
      <c r="AE25" s="3">
        <v>-638975110013196</v>
      </c>
      <c r="AF25" s="3">
        <v>-217539292817898</v>
      </c>
      <c r="AG25" s="3">
        <v>-498546771650925</v>
      </c>
    </row>
    <row r="26" spans="1:33" x14ac:dyDescent="0.25">
      <c r="A26">
        <v>7</v>
      </c>
      <c r="B26" t="s">
        <v>2627</v>
      </c>
      <c r="C26" t="s">
        <v>2628</v>
      </c>
      <c r="D26" t="s">
        <v>2629</v>
      </c>
      <c r="E26" t="s">
        <v>2630</v>
      </c>
      <c r="F26" t="s">
        <v>2631</v>
      </c>
      <c r="G26" s="3">
        <v>-289630460485318</v>
      </c>
      <c r="H26" s="3">
        <v>-224293834473004</v>
      </c>
      <c r="I26" s="3">
        <v>-132057666301702</v>
      </c>
      <c r="J26" t="s">
        <v>2632</v>
      </c>
      <c r="K26" t="s">
        <v>2633</v>
      </c>
      <c r="L26" t="s">
        <v>2634</v>
      </c>
      <c r="M26" t="s">
        <v>2635</v>
      </c>
      <c r="N26" t="s">
        <v>2636</v>
      </c>
      <c r="O26" t="s">
        <v>2637</v>
      </c>
      <c r="P26" t="s">
        <v>2638</v>
      </c>
      <c r="Q26" t="s">
        <v>2639</v>
      </c>
      <c r="R26" t="s">
        <v>2640</v>
      </c>
      <c r="S26" t="s">
        <v>2641</v>
      </c>
      <c r="T26" t="s">
        <v>2642</v>
      </c>
      <c r="U26" t="s">
        <v>2643</v>
      </c>
      <c r="V26" t="s">
        <v>2644</v>
      </c>
      <c r="W26" t="s">
        <v>2645</v>
      </c>
      <c r="X26" t="s">
        <v>2646</v>
      </c>
      <c r="Y26" t="s">
        <v>2647</v>
      </c>
      <c r="Z26" t="s">
        <v>2648</v>
      </c>
      <c r="AA26" s="3">
        <v>-292713340574777</v>
      </c>
      <c r="AB26" s="3">
        <v>-226730934594225</v>
      </c>
      <c r="AC26" s="3">
        <v>-133898317734947</v>
      </c>
      <c r="AD26" t="s">
        <v>2649</v>
      </c>
      <c r="AE26" s="3">
        <v>-286547580395858</v>
      </c>
      <c r="AF26" s="3">
        <v>-221856734351784</v>
      </c>
      <c r="AG26" s="3">
        <v>-130217014868457</v>
      </c>
    </row>
    <row r="27" spans="1:33" x14ac:dyDescent="0.25">
      <c r="A27">
        <v>10</v>
      </c>
      <c r="B27" t="s">
        <v>2650</v>
      </c>
      <c r="C27" t="s">
        <v>2651</v>
      </c>
      <c r="D27" t="s">
        <v>2652</v>
      </c>
      <c r="E27" t="s">
        <v>2653</v>
      </c>
      <c r="F27" s="3">
        <v>-202756105047934</v>
      </c>
      <c r="G27" s="3">
        <v>-154673212043737</v>
      </c>
      <c r="H27" s="3">
        <v>-375629313706154</v>
      </c>
      <c r="I27" t="s">
        <v>2654</v>
      </c>
      <c r="J27" t="s">
        <v>2655</v>
      </c>
      <c r="K27" t="s">
        <v>2656</v>
      </c>
      <c r="L27" t="s">
        <v>2657</v>
      </c>
      <c r="M27" t="s">
        <v>2658</v>
      </c>
      <c r="N27" t="s">
        <v>2659</v>
      </c>
      <c r="O27" t="s">
        <v>2660</v>
      </c>
      <c r="P27" t="s">
        <v>2661</v>
      </c>
      <c r="Q27" t="s">
        <v>2662</v>
      </c>
      <c r="R27" t="s">
        <v>2663</v>
      </c>
      <c r="S27" t="s">
        <v>2664</v>
      </c>
      <c r="T27" t="s">
        <v>2665</v>
      </c>
      <c r="U27" t="s">
        <v>2666</v>
      </c>
      <c r="V27" t="s">
        <v>2667</v>
      </c>
      <c r="W27" t="s">
        <v>2668</v>
      </c>
      <c r="X27" t="s">
        <v>2669</v>
      </c>
      <c r="Y27" t="s">
        <v>2670</v>
      </c>
      <c r="Z27" s="3">
        <v>-206114713251425</v>
      </c>
      <c r="AA27" s="3">
        <v>-158918213415172</v>
      </c>
      <c r="AB27" s="3">
        <v>-381149999947613</v>
      </c>
      <c r="AC27" t="s">
        <v>2671</v>
      </c>
      <c r="AD27" s="3">
        <v>-199397496844444</v>
      </c>
      <c r="AE27" s="3">
        <v>-150428210672303</v>
      </c>
      <c r="AF27" s="3">
        <v>-370108627464695</v>
      </c>
      <c r="AG27" t="s">
        <v>2672</v>
      </c>
    </row>
    <row r="29" spans="1:33" x14ac:dyDescent="0.25">
      <c r="A29" t="s">
        <v>1569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 t="s">
        <v>21</v>
      </c>
      <c r="K29" t="s">
        <v>22</v>
      </c>
      <c r="L29" t="s">
        <v>23</v>
      </c>
      <c r="M29" t="s">
        <v>24</v>
      </c>
      <c r="N29" t="s">
        <v>25</v>
      </c>
      <c r="O29" t="s">
        <v>26</v>
      </c>
      <c r="P29" t="s">
        <v>27</v>
      </c>
      <c r="Q29" t="s">
        <v>28</v>
      </c>
      <c r="R29" t="s">
        <v>29</v>
      </c>
      <c r="S29" t="s">
        <v>30</v>
      </c>
      <c r="T29" t="s">
        <v>31</v>
      </c>
      <c r="U29" t="s">
        <v>32</v>
      </c>
      <c r="V29" t="s">
        <v>33</v>
      </c>
      <c r="W29" t="s">
        <v>34</v>
      </c>
      <c r="X29" t="s">
        <v>35</v>
      </c>
      <c r="Y29" t="s">
        <v>36</v>
      </c>
      <c r="Z29" t="s">
        <v>37</v>
      </c>
      <c r="AA29" t="s">
        <v>38</v>
      </c>
      <c r="AB29" t="s">
        <v>39</v>
      </c>
      <c r="AC29" t="s">
        <v>40</v>
      </c>
      <c r="AD29" t="s">
        <v>41</v>
      </c>
      <c r="AE29" t="s">
        <v>42</v>
      </c>
      <c r="AF29" t="s">
        <v>43</v>
      </c>
      <c r="AG29" t="s">
        <v>44</v>
      </c>
    </row>
    <row r="30" spans="1:33" x14ac:dyDescent="0.25">
      <c r="A30" t="s">
        <v>1570</v>
      </c>
      <c r="B30" t="s">
        <v>2673</v>
      </c>
      <c r="C30" t="s">
        <v>2674</v>
      </c>
      <c r="D30" t="s">
        <v>2675</v>
      </c>
      <c r="E30" t="s">
        <v>2676</v>
      </c>
      <c r="F30" s="3">
        <v>127141955318551</v>
      </c>
      <c r="G30" s="3">
        <v>-389471571636349</v>
      </c>
      <c r="H30" s="3">
        <v>-153392607664512</v>
      </c>
      <c r="I30" s="3">
        <v>-381081310132966</v>
      </c>
      <c r="J30" t="s">
        <v>2677</v>
      </c>
      <c r="K30" t="s">
        <v>2678</v>
      </c>
      <c r="L30" t="s">
        <v>2679</v>
      </c>
      <c r="M30" t="s">
        <v>2680</v>
      </c>
      <c r="N30" t="s">
        <v>2681</v>
      </c>
      <c r="O30" t="s">
        <v>2682</v>
      </c>
      <c r="P30" t="s">
        <v>2683</v>
      </c>
      <c r="Q30" t="s">
        <v>2684</v>
      </c>
      <c r="R30" t="s">
        <v>2685</v>
      </c>
      <c r="S30" t="s">
        <v>2686</v>
      </c>
      <c r="T30" t="s">
        <v>2687</v>
      </c>
      <c r="U30" t="s">
        <v>2688</v>
      </c>
      <c r="V30" t="s">
        <v>2689</v>
      </c>
      <c r="W30" t="s">
        <v>2690</v>
      </c>
      <c r="X30" t="s">
        <v>2691</v>
      </c>
      <c r="Y30" t="s">
        <v>2692</v>
      </c>
      <c r="Z30" s="3">
        <v>114144449166145</v>
      </c>
      <c r="AA30" s="3">
        <v>-404923526914394</v>
      </c>
      <c r="AB30" s="3">
        <v>-168479659703798</v>
      </c>
      <c r="AC30" s="3">
        <v>-392060073211513</v>
      </c>
      <c r="AD30" s="3">
        <v>140139461470957</v>
      </c>
      <c r="AE30" s="3">
        <v>-374019616358305</v>
      </c>
      <c r="AF30" s="3">
        <v>-138305555625226</v>
      </c>
      <c r="AG30" s="3">
        <v>-370102547054419</v>
      </c>
    </row>
    <row r="31" spans="1:33" x14ac:dyDescent="0.25">
      <c r="A31">
        <v>3</v>
      </c>
      <c r="B31" t="s">
        <v>2693</v>
      </c>
      <c r="C31" t="s">
        <v>2694</v>
      </c>
      <c r="D31" t="s">
        <v>2695</v>
      </c>
      <c r="E31" t="s">
        <v>2696</v>
      </c>
      <c r="F31" s="3">
        <v>1080132937863</v>
      </c>
      <c r="G31" s="3">
        <v>-323231518382944</v>
      </c>
      <c r="H31" s="3">
        <v>-17349615537577</v>
      </c>
      <c r="I31" s="3">
        <v>-265699430069216</v>
      </c>
      <c r="J31" t="s">
        <v>2697</v>
      </c>
      <c r="K31" t="s">
        <v>2698</v>
      </c>
      <c r="L31" t="s">
        <v>2699</v>
      </c>
      <c r="M31" t="s">
        <v>2700</v>
      </c>
      <c r="N31" t="s">
        <v>2701</v>
      </c>
      <c r="O31" t="s">
        <v>2702</v>
      </c>
      <c r="P31" t="s">
        <v>2703</v>
      </c>
      <c r="Q31" t="s">
        <v>2704</v>
      </c>
      <c r="R31" t="s">
        <v>2705</v>
      </c>
      <c r="S31" t="s">
        <v>2706</v>
      </c>
      <c r="T31" t="s">
        <v>2707</v>
      </c>
      <c r="U31" t="s">
        <v>2708</v>
      </c>
      <c r="V31" t="s">
        <v>2709</v>
      </c>
      <c r="W31" t="s">
        <v>2710</v>
      </c>
      <c r="X31" t="s">
        <v>2711</v>
      </c>
      <c r="Y31" t="s">
        <v>2712</v>
      </c>
      <c r="Z31" s="3">
        <v>100934904519617</v>
      </c>
      <c r="AA31" s="3">
        <v>-333240653060111</v>
      </c>
      <c r="AB31" s="3">
        <v>-18315924022416</v>
      </c>
      <c r="AC31" s="3">
        <v>-272799974068971</v>
      </c>
      <c r="AD31" s="3">
        <v>115091683052983</v>
      </c>
      <c r="AE31" s="3">
        <v>-313222383705777</v>
      </c>
      <c r="AF31" s="3">
        <v>-163833070527381</v>
      </c>
      <c r="AG31" s="3">
        <v>-258598886069461</v>
      </c>
    </row>
    <row r="32" spans="1:33" x14ac:dyDescent="0.25">
      <c r="A32">
        <v>5</v>
      </c>
      <c r="B32" t="s">
        <v>2713</v>
      </c>
      <c r="C32" t="s">
        <v>2714</v>
      </c>
      <c r="D32" t="s">
        <v>2715</v>
      </c>
      <c r="E32" t="s">
        <v>2716</v>
      </c>
      <c r="F32" t="s">
        <v>2717</v>
      </c>
      <c r="G32" s="3">
        <v>-279741280898406</v>
      </c>
      <c r="H32" s="3">
        <v>-19516905927758</v>
      </c>
      <c r="I32" s="3">
        <v>-181588341039397</v>
      </c>
      <c r="J32" t="s">
        <v>2718</v>
      </c>
      <c r="K32" t="s">
        <v>2719</v>
      </c>
      <c r="L32" t="s">
        <v>2720</v>
      </c>
      <c r="M32" t="s">
        <v>2721</v>
      </c>
      <c r="N32" t="s">
        <v>2722</v>
      </c>
      <c r="O32" t="s">
        <v>2723</v>
      </c>
      <c r="P32" t="s">
        <v>2724</v>
      </c>
      <c r="Q32" t="s">
        <v>2725</v>
      </c>
      <c r="R32" t="s">
        <v>2726</v>
      </c>
      <c r="S32" t="s">
        <v>2727</v>
      </c>
      <c r="T32" t="s">
        <v>2728</v>
      </c>
      <c r="U32" t="s">
        <v>2729</v>
      </c>
      <c r="V32" t="s">
        <v>2730</v>
      </c>
      <c r="W32" t="s">
        <v>2731</v>
      </c>
      <c r="X32" t="s">
        <v>2732</v>
      </c>
      <c r="Y32" t="s">
        <v>2733</v>
      </c>
      <c r="Z32" t="s">
        <v>2734</v>
      </c>
      <c r="AA32" s="3">
        <v>-285849954910118</v>
      </c>
      <c r="AB32" s="3">
        <v>-200982930045229</v>
      </c>
      <c r="AC32" s="3">
        <v>-185897645834184</v>
      </c>
      <c r="AD32" t="s">
        <v>2735</v>
      </c>
      <c r="AE32" s="3">
        <v>-273632606886694</v>
      </c>
      <c r="AF32" s="3">
        <v>-189355188509932</v>
      </c>
      <c r="AG32" s="3">
        <v>-17727903624461</v>
      </c>
    </row>
    <row r="33" spans="1:33" x14ac:dyDescent="0.25">
      <c r="A33">
        <v>8</v>
      </c>
      <c r="B33" t="s">
        <v>2736</v>
      </c>
      <c r="C33" t="s">
        <v>2737</v>
      </c>
      <c r="D33" t="s">
        <v>2738</v>
      </c>
      <c r="E33" t="s">
        <v>2739</v>
      </c>
      <c r="F33" t="s">
        <v>2740</v>
      </c>
      <c r="G33" s="3">
        <v>-234614872327817</v>
      </c>
      <c r="H33" s="3">
        <v>-248792706290294</v>
      </c>
      <c r="I33" t="s">
        <v>2741</v>
      </c>
      <c r="J33" t="s">
        <v>2742</v>
      </c>
      <c r="K33" t="s">
        <v>2743</v>
      </c>
      <c r="L33" t="s">
        <v>2744</v>
      </c>
      <c r="M33" t="s">
        <v>2745</v>
      </c>
      <c r="N33" t="s">
        <v>2746</v>
      </c>
      <c r="O33" t="s">
        <v>2747</v>
      </c>
      <c r="P33" t="s">
        <v>2748</v>
      </c>
      <c r="Q33" t="s">
        <v>2749</v>
      </c>
      <c r="R33" t="s">
        <v>2750</v>
      </c>
      <c r="S33" t="s">
        <v>2751</v>
      </c>
      <c r="T33" t="s">
        <v>2752</v>
      </c>
      <c r="U33" t="s">
        <v>2753</v>
      </c>
      <c r="V33" t="s">
        <v>2754</v>
      </c>
      <c r="W33" t="s">
        <v>2755</v>
      </c>
      <c r="X33" t="s">
        <v>2756</v>
      </c>
      <c r="Y33" t="s">
        <v>2757</v>
      </c>
      <c r="Z33" t="s">
        <v>2758</v>
      </c>
      <c r="AA33" s="3">
        <v>-236839343518298</v>
      </c>
      <c r="AB33" s="3">
        <v>-251090971710468</v>
      </c>
      <c r="AC33" t="s">
        <v>2759</v>
      </c>
      <c r="AD33" t="s">
        <v>2760</v>
      </c>
      <c r="AE33" s="3">
        <v>-232390401137336</v>
      </c>
      <c r="AF33" s="3">
        <v>-24649444087012</v>
      </c>
      <c r="AG33" t="s">
        <v>2761</v>
      </c>
    </row>
    <row r="34" spans="1:33" x14ac:dyDescent="0.25">
      <c r="A34">
        <v>10</v>
      </c>
      <c r="B34" t="s">
        <v>2762</v>
      </c>
      <c r="C34" t="s">
        <v>2763</v>
      </c>
      <c r="D34" t="s">
        <v>2764</v>
      </c>
      <c r="E34" t="s">
        <v>2765</v>
      </c>
      <c r="F34" t="s">
        <v>2766</v>
      </c>
      <c r="G34" s="3">
        <v>-225414275960297</v>
      </c>
      <c r="H34" s="3">
        <v>-303884079808996</v>
      </c>
      <c r="I34" t="s">
        <v>2767</v>
      </c>
      <c r="J34" t="s">
        <v>2768</v>
      </c>
      <c r="K34" t="s">
        <v>2769</v>
      </c>
      <c r="L34" t="s">
        <v>2770</v>
      </c>
      <c r="M34" t="s">
        <v>2771</v>
      </c>
      <c r="N34" t="s">
        <v>2772</v>
      </c>
      <c r="O34" t="s">
        <v>2773</v>
      </c>
      <c r="P34" t="s">
        <v>2774</v>
      </c>
      <c r="Q34" t="s">
        <v>2775</v>
      </c>
      <c r="R34" t="s">
        <v>2776</v>
      </c>
      <c r="S34" t="s">
        <v>2777</v>
      </c>
      <c r="T34" t="s">
        <v>2778</v>
      </c>
      <c r="U34" t="s">
        <v>2779</v>
      </c>
      <c r="V34" t="s">
        <v>2780</v>
      </c>
      <c r="W34" t="s">
        <v>2781</v>
      </c>
      <c r="X34" t="s">
        <v>2782</v>
      </c>
      <c r="Y34" t="s">
        <v>2783</v>
      </c>
      <c r="Z34" t="s">
        <v>2784</v>
      </c>
      <c r="AA34" s="3">
        <v>-229907566028423</v>
      </c>
      <c r="AB34" s="3">
        <v>-308972148866806</v>
      </c>
      <c r="AC34" t="s">
        <v>2785</v>
      </c>
      <c r="AD34" t="s">
        <v>2786</v>
      </c>
      <c r="AE34" s="3">
        <v>-220920985892171</v>
      </c>
      <c r="AF34" s="3">
        <v>-298796010751186</v>
      </c>
      <c r="AG34" t="s">
        <v>2787</v>
      </c>
    </row>
    <row r="37" spans="1:33" x14ac:dyDescent="0.25">
      <c r="A37" t="s">
        <v>1</v>
      </c>
    </row>
    <row r="38" spans="1:33" x14ac:dyDescent="0.25">
      <c r="A38" t="s">
        <v>1475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20</v>
      </c>
      <c r="J38" t="s">
        <v>21</v>
      </c>
      <c r="K38" t="s">
        <v>22</v>
      </c>
      <c r="L38" t="s">
        <v>23</v>
      </c>
      <c r="M38" t="s">
        <v>24</v>
      </c>
      <c r="N38" t="s">
        <v>25</v>
      </c>
      <c r="O38" t="s">
        <v>26</v>
      </c>
      <c r="P38" t="s">
        <v>27</v>
      </c>
      <c r="Q38" t="s">
        <v>28</v>
      </c>
      <c r="R38" t="s">
        <v>29</v>
      </c>
      <c r="S38" t="s">
        <v>30</v>
      </c>
      <c r="T38" t="s">
        <v>31</v>
      </c>
      <c r="U38" t="s">
        <v>32</v>
      </c>
      <c r="V38" t="s">
        <v>33</v>
      </c>
      <c r="W38" t="s">
        <v>34</v>
      </c>
      <c r="X38" t="s">
        <v>35</v>
      </c>
      <c r="Y38" t="s">
        <v>36</v>
      </c>
      <c r="Z38" t="s">
        <v>37</v>
      </c>
      <c r="AA38" t="s">
        <v>38</v>
      </c>
      <c r="AB38" t="s">
        <v>39</v>
      </c>
      <c r="AC38" t="s">
        <v>40</v>
      </c>
      <c r="AD38" t="s">
        <v>41</v>
      </c>
      <c r="AE38" t="s">
        <v>42</v>
      </c>
      <c r="AF38" t="s">
        <v>43</v>
      </c>
      <c r="AG38" t="s">
        <v>44</v>
      </c>
    </row>
    <row r="39" spans="1:33" x14ac:dyDescent="0.25">
      <c r="A39">
        <v>-3</v>
      </c>
      <c r="B39" t="s">
        <v>2788</v>
      </c>
      <c r="C39" s="5">
        <v>148863018.289123</v>
      </c>
      <c r="D39" t="s">
        <v>2789</v>
      </c>
      <c r="E39" s="5">
        <v>76198813.521812007</v>
      </c>
      <c r="F39" s="3">
        <v>27005664596349</v>
      </c>
      <c r="G39" s="3">
        <v>-134176527125696</v>
      </c>
      <c r="H39" s="3">
        <v>-270072090788218</v>
      </c>
      <c r="I39" s="3">
        <v>-117847421390565</v>
      </c>
      <c r="J39" t="s">
        <v>2790</v>
      </c>
      <c r="K39" s="5">
        <v>2391018.2499218001</v>
      </c>
      <c r="L39" t="s">
        <v>2791</v>
      </c>
      <c r="M39" s="5">
        <v>80281987.668907806</v>
      </c>
      <c r="N39" t="s">
        <v>2792</v>
      </c>
      <c r="O39" t="s">
        <v>2793</v>
      </c>
      <c r="P39" t="s">
        <v>2794</v>
      </c>
      <c r="Q39" t="s">
        <v>2795</v>
      </c>
      <c r="R39" t="s">
        <v>2796</v>
      </c>
      <c r="S39" s="5">
        <v>108659553.822359</v>
      </c>
      <c r="T39" t="s">
        <v>2797</v>
      </c>
      <c r="U39" s="5">
        <v>619821672.39076197</v>
      </c>
      <c r="V39" t="s">
        <v>2798</v>
      </c>
      <c r="W39" s="5">
        <v>203941523.20952699</v>
      </c>
      <c r="X39" t="s">
        <v>2799</v>
      </c>
      <c r="Y39" s="5">
        <v>936762547.58972895</v>
      </c>
      <c r="Z39" s="3">
        <v>252584490150198</v>
      </c>
      <c r="AA39" s="3">
        <v>-137324600224224</v>
      </c>
      <c r="AB39" s="3">
        <v>-287546281743938</v>
      </c>
      <c r="AC39" s="3">
        <v>-119912427342255</v>
      </c>
      <c r="AD39" s="3">
        <v>287528801776782</v>
      </c>
      <c r="AE39" s="3">
        <v>-131028454027168</v>
      </c>
      <c r="AF39" s="3">
        <v>-252597899832499</v>
      </c>
      <c r="AG39" s="3">
        <v>-115782415438874</v>
      </c>
    </row>
    <row r="40" spans="1:33" x14ac:dyDescent="0.25">
      <c r="A40" t="s">
        <v>1488</v>
      </c>
      <c r="B40" t="s">
        <v>2800</v>
      </c>
      <c r="C40" s="5">
        <v>2578572362.5732298</v>
      </c>
      <c r="D40" t="s">
        <v>2801</v>
      </c>
      <c r="E40" t="s">
        <v>2802</v>
      </c>
      <c r="F40" s="3">
        <v>242859906040208</v>
      </c>
      <c r="G40" s="3">
        <v>-105656637809739</v>
      </c>
      <c r="H40" s="3">
        <v>-243057161488042</v>
      </c>
      <c r="I40" s="3">
        <v>-901995274759779</v>
      </c>
      <c r="J40" t="s">
        <v>2803</v>
      </c>
      <c r="K40" s="5">
        <v>302814617.02776903</v>
      </c>
      <c r="L40" t="s">
        <v>2804</v>
      </c>
      <c r="M40" s="5">
        <v>926766502.55525804</v>
      </c>
      <c r="N40" t="s">
        <v>2805</v>
      </c>
      <c r="O40" t="s">
        <v>2806</v>
      </c>
      <c r="P40" t="s">
        <v>2807</v>
      </c>
      <c r="Q40" t="s">
        <v>2808</v>
      </c>
      <c r="R40" t="s">
        <v>2809</v>
      </c>
      <c r="S40" s="5">
        <v>2048416212.83869</v>
      </c>
      <c r="T40" t="s">
        <v>2810</v>
      </c>
      <c r="U40" t="s">
        <v>2811</v>
      </c>
      <c r="V40" t="s">
        <v>2812</v>
      </c>
      <c r="W40" s="5">
        <v>3245935207.8745599</v>
      </c>
      <c r="X40" t="s">
        <v>2813</v>
      </c>
      <c r="Y40" t="s">
        <v>2814</v>
      </c>
      <c r="Z40" s="3">
        <v>230364295763829</v>
      </c>
      <c r="AA40" s="3">
        <v>-107958380651441</v>
      </c>
      <c r="AB40" s="3">
        <v>-255570912918864</v>
      </c>
      <c r="AC40" s="3">
        <v>-917014211666361</v>
      </c>
      <c r="AD40" s="3">
        <v>255355516316587</v>
      </c>
      <c r="AE40" s="3">
        <v>-103354894968036</v>
      </c>
      <c r="AF40" s="3">
        <v>-23054341005722</v>
      </c>
      <c r="AG40" s="3">
        <v>-886976337853197</v>
      </c>
    </row>
    <row r="41" spans="1:33" x14ac:dyDescent="0.25">
      <c r="A41">
        <v>3</v>
      </c>
      <c r="B41" t="s">
        <v>2815</v>
      </c>
      <c r="C41" t="s">
        <v>2816</v>
      </c>
      <c r="D41" t="s">
        <v>2817</v>
      </c>
      <c r="E41" t="s">
        <v>2818</v>
      </c>
      <c r="F41" s="3">
        <v>215235078958928</v>
      </c>
      <c r="G41" s="3">
        <v>-785025137805293</v>
      </c>
      <c r="H41" s="3">
        <v>-217474757018089</v>
      </c>
      <c r="I41" s="3">
        <v>-638665063096297</v>
      </c>
      <c r="J41" t="s">
        <v>2819</v>
      </c>
      <c r="K41" s="5">
        <v>298553092.55061001</v>
      </c>
      <c r="L41" t="s">
        <v>2820</v>
      </c>
      <c r="M41" s="5">
        <v>8301549279.5150499</v>
      </c>
      <c r="N41" t="s">
        <v>2821</v>
      </c>
      <c r="O41" t="s">
        <v>2822</v>
      </c>
      <c r="P41" t="s">
        <v>2823</v>
      </c>
      <c r="Q41" t="s">
        <v>2824</v>
      </c>
      <c r="R41" t="s">
        <v>2825</v>
      </c>
      <c r="S41" t="s">
        <v>2826</v>
      </c>
      <c r="T41" t="s">
        <v>2827</v>
      </c>
      <c r="U41" t="s">
        <v>2828</v>
      </c>
      <c r="V41" t="s">
        <v>2829</v>
      </c>
      <c r="W41" t="s">
        <v>2830</v>
      </c>
      <c r="X41" t="s">
        <v>2831</v>
      </c>
      <c r="Y41" t="s">
        <v>2832</v>
      </c>
      <c r="Z41" s="3">
        <v>20753985355455</v>
      </c>
      <c r="AA41" s="3">
        <v>-800054096936953</v>
      </c>
      <c r="AB41" s="3">
        <v>-225292250444154</v>
      </c>
      <c r="AC41" s="3">
        <v>-648360240127116</v>
      </c>
      <c r="AD41" s="3">
        <v>222930304363305</v>
      </c>
      <c r="AE41" s="3">
        <v>-769996178673633</v>
      </c>
      <c r="AF41" s="3">
        <v>-209657263592024</v>
      </c>
      <c r="AG41" s="3">
        <v>-628969886065477</v>
      </c>
    </row>
    <row r="42" spans="1:33" x14ac:dyDescent="0.25">
      <c r="A42">
        <v>7</v>
      </c>
      <c r="B42" t="s">
        <v>2833</v>
      </c>
      <c r="C42" t="s">
        <v>2834</v>
      </c>
      <c r="D42" t="s">
        <v>2835</v>
      </c>
      <c r="E42" t="s">
        <v>2836</v>
      </c>
      <c r="F42" s="3">
        <v>13826876713768</v>
      </c>
      <c r="G42" s="3">
        <v>-420851162644339</v>
      </c>
      <c r="H42" s="3">
        <v>-19054433632622</v>
      </c>
      <c r="I42" s="3">
        <v>-281660551704445</v>
      </c>
      <c r="J42" t="s">
        <v>2837</v>
      </c>
      <c r="K42" t="s">
        <v>2838</v>
      </c>
      <c r="L42" t="s">
        <v>2839</v>
      </c>
      <c r="M42" t="s">
        <v>2840</v>
      </c>
      <c r="N42" t="s">
        <v>2841</v>
      </c>
      <c r="O42" t="s">
        <v>2842</v>
      </c>
      <c r="P42" t="s">
        <v>2843</v>
      </c>
      <c r="Q42" t="s">
        <v>2844</v>
      </c>
      <c r="R42" t="s">
        <v>2845</v>
      </c>
      <c r="S42" t="s">
        <v>2846</v>
      </c>
      <c r="T42" t="s">
        <v>2847</v>
      </c>
      <c r="U42" t="s">
        <v>2848</v>
      </c>
      <c r="V42" t="s">
        <v>2849</v>
      </c>
      <c r="W42" t="s">
        <v>2850</v>
      </c>
      <c r="X42" t="s">
        <v>2851</v>
      </c>
      <c r="Y42" t="s">
        <v>2852</v>
      </c>
      <c r="Z42" s="3">
        <v>13656838900814</v>
      </c>
      <c r="AA42" s="3">
        <v>-425821639924516</v>
      </c>
      <c r="AB42" s="3">
        <v>-192588288226112</v>
      </c>
      <c r="AC42" s="3">
        <v>-284546634702321</v>
      </c>
      <c r="AD42" s="3">
        <v>139969145267219</v>
      </c>
      <c r="AE42" s="3">
        <v>-415880685364162</v>
      </c>
      <c r="AF42" s="3">
        <v>-188500384426329</v>
      </c>
      <c r="AG42" s="3">
        <v>-278774468706569</v>
      </c>
    </row>
    <row r="43" spans="1:33" x14ac:dyDescent="0.25">
      <c r="A43">
        <v>10</v>
      </c>
      <c r="B43" t="s">
        <v>2853</v>
      </c>
      <c r="C43" t="s">
        <v>2854</v>
      </c>
      <c r="D43" t="s">
        <v>2855</v>
      </c>
      <c r="E43" t="s">
        <v>2856</v>
      </c>
      <c r="F43" t="s">
        <v>2857</v>
      </c>
      <c r="G43" s="3">
        <v>-201905224220139</v>
      </c>
      <c r="H43" s="3">
        <v>-24213388537626</v>
      </c>
      <c r="I43" t="s">
        <v>2858</v>
      </c>
      <c r="J43" t="s">
        <v>2859</v>
      </c>
      <c r="K43" t="s">
        <v>2860</v>
      </c>
      <c r="L43" t="s">
        <v>2861</v>
      </c>
      <c r="M43" t="s">
        <v>2862</v>
      </c>
      <c r="N43" t="s">
        <v>2863</v>
      </c>
      <c r="O43" t="s">
        <v>2864</v>
      </c>
      <c r="P43" t="s">
        <v>2865</v>
      </c>
      <c r="Q43" t="s">
        <v>2866</v>
      </c>
      <c r="R43" t="s">
        <v>2867</v>
      </c>
      <c r="S43" t="s">
        <v>2868</v>
      </c>
      <c r="T43" t="s">
        <v>2869</v>
      </c>
      <c r="U43" t="s">
        <v>2870</v>
      </c>
      <c r="V43" t="s">
        <v>2871</v>
      </c>
      <c r="W43" t="s">
        <v>2872</v>
      </c>
      <c r="X43" t="s">
        <v>2873</v>
      </c>
      <c r="Y43" t="s">
        <v>2874</v>
      </c>
      <c r="Z43" t="s">
        <v>2875</v>
      </c>
      <c r="AA43" s="3">
        <v>-207681096580681</v>
      </c>
      <c r="AB43" s="3">
        <v>-246351164413495</v>
      </c>
      <c r="AC43" t="s">
        <v>2876</v>
      </c>
      <c r="AD43" t="s">
        <v>2877</v>
      </c>
      <c r="AE43" s="3">
        <v>-196129351859598</v>
      </c>
      <c r="AF43" s="3">
        <v>-237916606339024</v>
      </c>
      <c r="AG43" t="s">
        <v>2878</v>
      </c>
    </row>
    <row r="45" spans="1:33" x14ac:dyDescent="0.25">
      <c r="A45" t="s">
        <v>1569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20</v>
      </c>
      <c r="J45" t="s">
        <v>21</v>
      </c>
      <c r="K45" t="s">
        <v>22</v>
      </c>
      <c r="L45" t="s">
        <v>23</v>
      </c>
      <c r="M45" t="s">
        <v>24</v>
      </c>
      <c r="N45" t="s">
        <v>25</v>
      </c>
      <c r="O45" t="s">
        <v>26</v>
      </c>
      <c r="P45" t="s">
        <v>27</v>
      </c>
      <c r="Q45" t="s">
        <v>28</v>
      </c>
      <c r="R45" t="s">
        <v>29</v>
      </c>
      <c r="S45" t="s">
        <v>30</v>
      </c>
      <c r="T45" t="s">
        <v>31</v>
      </c>
      <c r="U45" t="s">
        <v>32</v>
      </c>
      <c r="V45" t="s">
        <v>33</v>
      </c>
      <c r="W45" t="s">
        <v>34</v>
      </c>
      <c r="X45" t="s">
        <v>35</v>
      </c>
      <c r="Y45" t="s">
        <v>36</v>
      </c>
      <c r="Z45" t="s">
        <v>37</v>
      </c>
      <c r="AA45" t="s">
        <v>38</v>
      </c>
      <c r="AB45" t="s">
        <v>39</v>
      </c>
      <c r="AC45" t="s">
        <v>40</v>
      </c>
      <c r="AD45" t="s">
        <v>41</v>
      </c>
      <c r="AE45" t="s">
        <v>42</v>
      </c>
      <c r="AF45" t="s">
        <v>43</v>
      </c>
      <c r="AG45" t="s">
        <v>44</v>
      </c>
    </row>
    <row r="46" spans="1:33" x14ac:dyDescent="0.25">
      <c r="A46" t="s">
        <v>1570</v>
      </c>
      <c r="B46" t="s">
        <v>2879</v>
      </c>
      <c r="C46" t="s">
        <v>2880</v>
      </c>
      <c r="D46" t="s">
        <v>2881</v>
      </c>
      <c r="E46" t="s">
        <v>2882</v>
      </c>
      <c r="F46" s="3">
        <v>110684702235529</v>
      </c>
      <c r="G46" s="3">
        <v>-639354150630557</v>
      </c>
      <c r="H46" s="3">
        <v>-112346651624164</v>
      </c>
      <c r="I46" s="3">
        <v>-655512014245328</v>
      </c>
      <c r="J46" t="s">
        <v>2883</v>
      </c>
      <c r="K46" t="s">
        <v>2884</v>
      </c>
      <c r="L46" t="s">
        <v>2885</v>
      </c>
      <c r="M46" t="s">
        <v>2886</v>
      </c>
      <c r="N46" t="s">
        <v>2887</v>
      </c>
      <c r="O46" t="s">
        <v>2888</v>
      </c>
      <c r="P46" t="s">
        <v>2889</v>
      </c>
      <c r="Q46" t="s">
        <v>2890</v>
      </c>
      <c r="R46" t="s">
        <v>2891</v>
      </c>
      <c r="S46" t="s">
        <v>2892</v>
      </c>
      <c r="T46" t="s">
        <v>2893</v>
      </c>
      <c r="U46" t="s">
        <v>2894</v>
      </c>
      <c r="V46" t="s">
        <v>2895</v>
      </c>
      <c r="W46" t="s">
        <v>2896</v>
      </c>
      <c r="X46" t="s">
        <v>2897</v>
      </c>
      <c r="Y46" t="s">
        <v>2898</v>
      </c>
      <c r="Z46" t="s">
        <v>2899</v>
      </c>
      <c r="AA46" s="3">
        <v>-660528875104501</v>
      </c>
      <c r="AB46" s="3">
        <v>-124800513088548</v>
      </c>
      <c r="AC46" s="3">
        <v>-669903727450541</v>
      </c>
      <c r="AD46" s="3">
        <v>123027027107178</v>
      </c>
      <c r="AE46" s="3">
        <v>-618179426156612</v>
      </c>
      <c r="AF46" t="s">
        <v>2900</v>
      </c>
      <c r="AG46" s="3">
        <v>-641120301040115</v>
      </c>
    </row>
    <row r="47" spans="1:33" x14ac:dyDescent="0.25">
      <c r="A47">
        <v>3</v>
      </c>
      <c r="B47" t="s">
        <v>2901</v>
      </c>
      <c r="C47" t="s">
        <v>2902</v>
      </c>
      <c r="D47" t="s">
        <v>2903</v>
      </c>
      <c r="E47" t="s">
        <v>2904</v>
      </c>
      <c r="F47" s="3">
        <v>128822567810515</v>
      </c>
      <c r="G47" s="3">
        <v>-533206929516183</v>
      </c>
      <c r="H47" s="3">
        <v>-135909465771165</v>
      </c>
      <c r="I47" s="3">
        <v>-496131512395456</v>
      </c>
      <c r="J47" t="s">
        <v>2905</v>
      </c>
      <c r="K47" t="s">
        <v>2906</v>
      </c>
      <c r="L47" t="s">
        <v>2907</v>
      </c>
      <c r="M47" t="s">
        <v>2908</v>
      </c>
      <c r="N47" t="s">
        <v>2909</v>
      </c>
      <c r="O47" t="s">
        <v>2910</v>
      </c>
      <c r="P47" t="s">
        <v>2911</v>
      </c>
      <c r="Q47" t="s">
        <v>2912</v>
      </c>
      <c r="R47" t="s">
        <v>2913</v>
      </c>
      <c r="S47" t="s">
        <v>2914</v>
      </c>
      <c r="T47" t="s">
        <v>2915</v>
      </c>
      <c r="U47" t="s">
        <v>2916</v>
      </c>
      <c r="V47" t="s">
        <v>2917</v>
      </c>
      <c r="W47" t="s">
        <v>2918</v>
      </c>
      <c r="X47" t="s">
        <v>2919</v>
      </c>
      <c r="Y47" t="s">
        <v>2920</v>
      </c>
      <c r="Z47" s="3">
        <v>121104428813027</v>
      </c>
      <c r="AA47" s="3">
        <v>-547297298257968</v>
      </c>
      <c r="AB47" s="3">
        <v>-143942297053449</v>
      </c>
      <c r="AC47" s="3">
        <v>-505668417147197</v>
      </c>
      <c r="AD47" s="3">
        <v>136540706808004</v>
      </c>
      <c r="AE47" s="3">
        <v>-519116560774397</v>
      </c>
      <c r="AF47" s="3">
        <v>-127876634488881</v>
      </c>
      <c r="AG47" s="3">
        <v>-486594607643715</v>
      </c>
    </row>
    <row r="48" spans="1:33" x14ac:dyDescent="0.25">
      <c r="A48">
        <v>5</v>
      </c>
      <c r="B48" t="s">
        <v>2921</v>
      </c>
      <c r="C48" t="s">
        <v>2922</v>
      </c>
      <c r="D48" t="s">
        <v>2923</v>
      </c>
      <c r="E48" t="s">
        <v>2924</v>
      </c>
      <c r="F48" s="3">
        <v>134068333397042</v>
      </c>
      <c r="G48" s="3">
        <v>-456263816039744</v>
      </c>
      <c r="H48" s="3">
        <v>-15508436507916</v>
      </c>
      <c r="I48" s="3">
        <v>-378952841896614</v>
      </c>
      <c r="J48" t="s">
        <v>2925</v>
      </c>
      <c r="K48" t="s">
        <v>2926</v>
      </c>
      <c r="L48" t="s">
        <v>2927</v>
      </c>
      <c r="M48" t="s">
        <v>2928</v>
      </c>
      <c r="N48" t="s">
        <v>2929</v>
      </c>
      <c r="O48" t="s">
        <v>2930</v>
      </c>
      <c r="P48" t="s">
        <v>2931</v>
      </c>
      <c r="Q48" t="s">
        <v>2932</v>
      </c>
      <c r="R48" t="s">
        <v>2933</v>
      </c>
      <c r="S48" t="s">
        <v>2934</v>
      </c>
      <c r="T48" t="s">
        <v>2935</v>
      </c>
      <c r="U48" t="s">
        <v>2936</v>
      </c>
      <c r="V48" t="s">
        <v>2937</v>
      </c>
      <c r="W48" t="s">
        <v>2938</v>
      </c>
      <c r="X48" t="s">
        <v>2939</v>
      </c>
      <c r="Y48" t="s">
        <v>2940</v>
      </c>
      <c r="Z48" s="3">
        <v>129733757634083</v>
      </c>
      <c r="AA48" s="3">
        <v>-465280027085538</v>
      </c>
      <c r="AB48" s="3">
        <v>-159920856459518</v>
      </c>
      <c r="AC48" s="3">
        <v>-384983713175834</v>
      </c>
      <c r="AD48" s="3">
        <v>138402909160001</v>
      </c>
      <c r="AE48" s="3">
        <v>-44724760499395</v>
      </c>
      <c r="AF48" s="3">
        <v>-150247873698801</v>
      </c>
      <c r="AG48" s="3">
        <v>-372921970617395</v>
      </c>
    </row>
    <row r="49" spans="1:33" x14ac:dyDescent="0.25">
      <c r="A49">
        <v>8</v>
      </c>
      <c r="B49" t="s">
        <v>2941</v>
      </c>
      <c r="C49" t="s">
        <v>2942</v>
      </c>
      <c r="D49" t="s">
        <v>2943</v>
      </c>
      <c r="E49" t="s">
        <v>2944</v>
      </c>
      <c r="F49" s="3">
        <v>100051892491699</v>
      </c>
      <c r="G49" s="3">
        <v>-349465191213441</v>
      </c>
      <c r="H49" s="3">
        <v>-193931736322323</v>
      </c>
      <c r="I49" s="3">
        <v>-2053970957786</v>
      </c>
      <c r="J49" t="s">
        <v>2945</v>
      </c>
      <c r="K49" t="s">
        <v>2946</v>
      </c>
      <c r="L49" t="s">
        <v>2947</v>
      </c>
      <c r="M49" t="s">
        <v>2948</v>
      </c>
      <c r="N49" t="s">
        <v>2949</v>
      </c>
      <c r="O49" t="s">
        <v>2950</v>
      </c>
      <c r="P49" t="s">
        <v>2951</v>
      </c>
      <c r="Q49" t="s">
        <v>2952</v>
      </c>
      <c r="R49" t="s">
        <v>2953</v>
      </c>
      <c r="S49" t="s">
        <v>2954</v>
      </c>
      <c r="T49" t="s">
        <v>2955</v>
      </c>
      <c r="U49" t="s">
        <v>2956</v>
      </c>
      <c r="V49" t="s">
        <v>2957</v>
      </c>
      <c r="W49" t="s">
        <v>2958</v>
      </c>
      <c r="X49" t="s">
        <v>2959</v>
      </c>
      <c r="Y49" t="s">
        <v>2960</v>
      </c>
      <c r="Z49" t="s">
        <v>2961</v>
      </c>
      <c r="AA49" s="3">
        <v>-353184573462465</v>
      </c>
      <c r="AB49" s="3">
        <v>-195687539633826</v>
      </c>
      <c r="AC49" s="3">
        <v>-207393808447155</v>
      </c>
      <c r="AD49" s="3">
        <v>10140055075169</v>
      </c>
      <c r="AE49" s="3">
        <v>-345745808964417</v>
      </c>
      <c r="AF49" s="3">
        <v>-192175933010821</v>
      </c>
      <c r="AG49" s="3">
        <v>-203400383110045</v>
      </c>
    </row>
    <row r="50" spans="1:33" x14ac:dyDescent="0.25">
      <c r="A50">
        <v>10</v>
      </c>
      <c r="B50" t="s">
        <v>2962</v>
      </c>
      <c r="C50" t="s">
        <v>2963</v>
      </c>
      <c r="D50" t="s">
        <v>2964</v>
      </c>
      <c r="E50" t="s">
        <v>2965</v>
      </c>
      <c r="F50" t="s">
        <v>2966</v>
      </c>
      <c r="G50" s="3">
        <v>-294981363981639</v>
      </c>
      <c r="H50" s="3">
        <v>-238081675014913</v>
      </c>
      <c r="I50" t="s">
        <v>2967</v>
      </c>
      <c r="J50" t="s">
        <v>2968</v>
      </c>
      <c r="K50" t="s">
        <v>2969</v>
      </c>
      <c r="L50" t="s">
        <v>2970</v>
      </c>
      <c r="M50" t="s">
        <v>2971</v>
      </c>
      <c r="N50" t="s">
        <v>2972</v>
      </c>
      <c r="O50" t="s">
        <v>2973</v>
      </c>
      <c r="P50" t="s">
        <v>2974</v>
      </c>
      <c r="Q50" t="s">
        <v>2975</v>
      </c>
      <c r="R50" t="s">
        <v>2976</v>
      </c>
      <c r="S50" t="s">
        <v>2977</v>
      </c>
      <c r="T50" t="s">
        <v>2978</v>
      </c>
      <c r="U50" t="s">
        <v>2979</v>
      </c>
      <c r="V50" t="s">
        <v>2980</v>
      </c>
      <c r="W50" t="s">
        <v>2981</v>
      </c>
      <c r="X50" t="s">
        <v>2982</v>
      </c>
      <c r="Y50" t="s">
        <v>2983</v>
      </c>
      <c r="Z50" t="s">
        <v>2984</v>
      </c>
      <c r="AA50" s="3">
        <v>-30127294419976</v>
      </c>
      <c r="AB50" s="3">
        <v>-242164408956247</v>
      </c>
      <c r="AC50" t="s">
        <v>2985</v>
      </c>
      <c r="AD50" t="s">
        <v>2986</v>
      </c>
      <c r="AE50" s="3">
        <v>-288689783763517</v>
      </c>
      <c r="AF50" s="3">
        <v>-233998941073579</v>
      </c>
      <c r="AG50" t="s">
        <v>2987</v>
      </c>
    </row>
    <row r="53" spans="1:33" x14ac:dyDescent="0.25">
      <c r="A53" t="s">
        <v>2</v>
      </c>
    </row>
    <row r="54" spans="1:33" x14ac:dyDescent="0.25">
      <c r="A54" t="s">
        <v>1475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 t="s">
        <v>20</v>
      </c>
      <c r="J54" t="s">
        <v>21</v>
      </c>
      <c r="K54" t="s">
        <v>22</v>
      </c>
      <c r="L54" t="s">
        <v>23</v>
      </c>
      <c r="M54" t="s">
        <v>24</v>
      </c>
      <c r="N54" t="s">
        <v>25</v>
      </c>
      <c r="O54" t="s">
        <v>26</v>
      </c>
      <c r="P54" t="s">
        <v>27</v>
      </c>
      <c r="Q54" t="s">
        <v>28</v>
      </c>
      <c r="R54" t="s">
        <v>29</v>
      </c>
      <c r="S54" t="s">
        <v>30</v>
      </c>
      <c r="T54" t="s">
        <v>31</v>
      </c>
      <c r="U54" t="s">
        <v>32</v>
      </c>
      <c r="V54" t="s">
        <v>33</v>
      </c>
      <c r="W54" t="s">
        <v>34</v>
      </c>
      <c r="X54" t="s">
        <v>35</v>
      </c>
      <c r="Y54" t="s">
        <v>36</v>
      </c>
      <c r="Z54" t="s">
        <v>37</v>
      </c>
      <c r="AA54" t="s">
        <v>38</v>
      </c>
      <c r="AB54" t="s">
        <v>39</v>
      </c>
      <c r="AC54" t="s">
        <v>40</v>
      </c>
      <c r="AD54" t="s">
        <v>41</v>
      </c>
      <c r="AE54" t="s">
        <v>42</v>
      </c>
      <c r="AF54" t="s">
        <v>43</v>
      </c>
      <c r="AG54" t="s">
        <v>44</v>
      </c>
    </row>
    <row r="55" spans="1:33" x14ac:dyDescent="0.25">
      <c r="A55">
        <v>-3</v>
      </c>
      <c r="B55" t="s">
        <v>2988</v>
      </c>
      <c r="C55" s="5">
        <v>38015396.725721098</v>
      </c>
      <c r="D55" t="s">
        <v>2989</v>
      </c>
      <c r="E55" s="5">
        <v>1299977690.4865799</v>
      </c>
      <c r="F55" s="3">
        <v>401492185063351</v>
      </c>
      <c r="G55" s="3">
        <v>-147826891091413</v>
      </c>
      <c r="H55" s="3">
        <v>-401569063881263</v>
      </c>
      <c r="I55" s="3">
        <v>-112505653619528</v>
      </c>
      <c r="J55" t="s">
        <v>2990</v>
      </c>
      <c r="K55" s="5">
        <v>4692402.4892285699</v>
      </c>
      <c r="L55" t="s">
        <v>2991</v>
      </c>
      <c r="M55" s="5">
        <v>180690909.05355701</v>
      </c>
      <c r="N55" t="s">
        <v>2992</v>
      </c>
      <c r="O55" t="s">
        <v>2993</v>
      </c>
      <c r="P55" t="s">
        <v>2994</v>
      </c>
      <c r="Q55" t="s">
        <v>2995</v>
      </c>
      <c r="R55" t="s">
        <v>2996</v>
      </c>
      <c r="S55" s="5">
        <v>29846409.0817753</v>
      </c>
      <c r="T55" t="s">
        <v>2997</v>
      </c>
      <c r="U55" s="5">
        <v>989971324.75480103</v>
      </c>
      <c r="V55" t="s">
        <v>2998</v>
      </c>
      <c r="W55" s="5">
        <v>4842024.2178629003</v>
      </c>
      <c r="X55" t="s">
        <v>2999</v>
      </c>
      <c r="Y55" s="5">
        <v>17070599.046020001</v>
      </c>
      <c r="Z55" s="3">
        <v>386719308013303</v>
      </c>
      <c r="AA55" s="3">
        <v>-150246159116541</v>
      </c>
      <c r="AB55" s="3">
        <v>-416348648832655</v>
      </c>
      <c r="AC55" s="3">
        <v>-115229948663751</v>
      </c>
      <c r="AD55" s="3">
        <v>4162650621134</v>
      </c>
      <c r="AE55" s="3">
        <v>-145407623066285</v>
      </c>
      <c r="AF55" s="3">
        <v>-386789478929871</v>
      </c>
      <c r="AG55" s="3">
        <v>-109781358575304</v>
      </c>
    </row>
    <row r="56" spans="1:33" x14ac:dyDescent="0.25">
      <c r="A56" t="s">
        <v>1488</v>
      </c>
      <c r="B56" t="s">
        <v>3000</v>
      </c>
      <c r="C56" s="5">
        <v>1448592929.88398</v>
      </c>
      <c r="D56" t="s">
        <v>3001</v>
      </c>
      <c r="E56" t="s">
        <v>3002</v>
      </c>
      <c r="F56" s="3">
        <v>296335929163583</v>
      </c>
      <c r="G56" s="3">
        <v>-111423182868233</v>
      </c>
      <c r="H56" s="3">
        <v>-296715079399899</v>
      </c>
      <c r="I56" s="3">
        <v>-872612182436522</v>
      </c>
      <c r="J56" t="s">
        <v>3003</v>
      </c>
      <c r="K56" s="5">
        <v>129596283.336128</v>
      </c>
      <c r="L56" t="s">
        <v>3004</v>
      </c>
      <c r="M56" s="5">
        <v>1633081130.5429399</v>
      </c>
      <c r="N56" t="s">
        <v>3005</v>
      </c>
      <c r="O56" t="s">
        <v>3006</v>
      </c>
      <c r="P56" t="s">
        <v>3007</v>
      </c>
      <c r="Q56" t="s">
        <v>3008</v>
      </c>
      <c r="R56" t="s">
        <v>3009</v>
      </c>
      <c r="S56" s="5">
        <v>121561135.43081</v>
      </c>
      <c r="T56" t="s">
        <v>3010</v>
      </c>
      <c r="U56" t="s">
        <v>3011</v>
      </c>
      <c r="V56" t="s">
        <v>3012</v>
      </c>
      <c r="W56" s="5">
        <v>1726226504.92594</v>
      </c>
      <c r="X56" t="s">
        <v>3013</v>
      </c>
      <c r="Y56" t="s">
        <v>3014</v>
      </c>
      <c r="Z56" s="3">
        <v>285783374427392</v>
      </c>
      <c r="AA56" s="3">
        <v>-11317666186269</v>
      </c>
      <c r="AB56" s="3">
        <v>-307289665148004</v>
      </c>
      <c r="AC56" s="3">
        <v>-892341104670599</v>
      </c>
      <c r="AD56" s="3">
        <v>306888483899774</v>
      </c>
      <c r="AE56" s="3">
        <v>-109669703873776</v>
      </c>
      <c r="AF56" s="3">
        <v>-286140493651793</v>
      </c>
      <c r="AG56" s="3">
        <v>-852883260202444</v>
      </c>
    </row>
    <row r="57" spans="1:33" x14ac:dyDescent="0.25">
      <c r="A57">
        <v>3</v>
      </c>
      <c r="B57" t="s">
        <v>3015</v>
      </c>
      <c r="C57" t="s">
        <v>3016</v>
      </c>
      <c r="D57" t="s">
        <v>3017</v>
      </c>
      <c r="E57" t="s">
        <v>3018</v>
      </c>
      <c r="F57" s="3">
        <v>194862123145887</v>
      </c>
      <c r="G57" s="3">
        <v>-771938753461892</v>
      </c>
      <c r="H57" s="3">
        <v>-196853914707294</v>
      </c>
      <c r="I57" s="3">
        <v>-636723456920922</v>
      </c>
      <c r="J57" t="s">
        <v>3019</v>
      </c>
      <c r="K57" s="5">
        <v>2543779918.8410401</v>
      </c>
      <c r="L57" t="s">
        <v>3020</v>
      </c>
      <c r="M57" t="s">
        <v>3021</v>
      </c>
      <c r="N57" t="s">
        <v>3022</v>
      </c>
      <c r="O57" t="s">
        <v>3023</v>
      </c>
      <c r="P57" t="s">
        <v>3024</v>
      </c>
      <c r="Q57" t="s">
        <v>3025</v>
      </c>
      <c r="R57" t="s">
        <v>3026</v>
      </c>
      <c r="S57" t="s">
        <v>3027</v>
      </c>
      <c r="T57" t="s">
        <v>3028</v>
      </c>
      <c r="U57" t="s">
        <v>3029</v>
      </c>
      <c r="V57" t="s">
        <v>3030</v>
      </c>
      <c r="W57" t="s">
        <v>3031</v>
      </c>
      <c r="X57" t="s">
        <v>3032</v>
      </c>
      <c r="Y57" t="s">
        <v>3033</v>
      </c>
      <c r="Z57" s="3">
        <v>188337112984619</v>
      </c>
      <c r="AA57" s="3">
        <v>-783174468565009</v>
      </c>
      <c r="AB57" s="3">
        <v>-203437230358417</v>
      </c>
      <c r="AC57" s="3">
        <v>-649355232937811</v>
      </c>
      <c r="AD57" s="3">
        <v>201387133307154</v>
      </c>
      <c r="AE57" s="3">
        <v>-760703038358775</v>
      </c>
      <c r="AF57" s="3">
        <v>-190270599056171</v>
      </c>
      <c r="AG57" s="3">
        <v>-624091680904034</v>
      </c>
    </row>
    <row r="58" spans="1:33" x14ac:dyDescent="0.25">
      <c r="A58">
        <v>7</v>
      </c>
      <c r="B58" t="s">
        <v>3034</v>
      </c>
      <c r="C58" t="s">
        <v>3035</v>
      </c>
      <c r="D58" t="s">
        <v>3036</v>
      </c>
      <c r="E58" t="s">
        <v>3037</v>
      </c>
      <c r="F58" t="s">
        <v>3038</v>
      </c>
      <c r="G58" s="3">
        <v>-327354910118627</v>
      </c>
      <c r="H58" t="s">
        <v>3039</v>
      </c>
      <c r="I58" s="3">
        <v>-338052958003845</v>
      </c>
      <c r="J58" t="s">
        <v>3040</v>
      </c>
      <c r="K58" t="s">
        <v>3041</v>
      </c>
      <c r="L58" t="s">
        <v>3042</v>
      </c>
      <c r="M58" t="s">
        <v>3043</v>
      </c>
      <c r="N58" t="s">
        <v>3044</v>
      </c>
      <c r="O58" t="s">
        <v>3045</v>
      </c>
      <c r="P58" t="s">
        <v>3046</v>
      </c>
      <c r="Q58" t="s">
        <v>3047</v>
      </c>
      <c r="R58" t="s">
        <v>3048</v>
      </c>
      <c r="S58" t="s">
        <v>3049</v>
      </c>
      <c r="T58" t="s">
        <v>3050</v>
      </c>
      <c r="U58" t="s">
        <v>3051</v>
      </c>
      <c r="V58" t="s">
        <v>3052</v>
      </c>
      <c r="W58" t="s">
        <v>3053</v>
      </c>
      <c r="X58" t="s">
        <v>3054</v>
      </c>
      <c r="Y58" t="s">
        <v>3055</v>
      </c>
      <c r="Z58" t="s">
        <v>3056</v>
      </c>
      <c r="AA58" s="3">
        <v>-330811693444073</v>
      </c>
      <c r="AB58" t="s">
        <v>3057</v>
      </c>
      <c r="AC58" s="3">
        <v>-34189855475685</v>
      </c>
      <c r="AD58" t="s">
        <v>3058</v>
      </c>
      <c r="AE58" s="3">
        <v>-323898126793181</v>
      </c>
      <c r="AF58" t="s">
        <v>3059</v>
      </c>
      <c r="AG58" s="3">
        <v>-33420736125084</v>
      </c>
    </row>
    <row r="59" spans="1:33" x14ac:dyDescent="0.25">
      <c r="A59">
        <v>10</v>
      </c>
      <c r="B59" t="s">
        <v>3060</v>
      </c>
      <c r="C59" t="s">
        <v>3061</v>
      </c>
      <c r="D59" t="s">
        <v>3062</v>
      </c>
      <c r="E59" t="s">
        <v>3063</v>
      </c>
      <c r="F59" s="3">
        <v>-148043194974689</v>
      </c>
      <c r="G59" t="s">
        <v>3064</v>
      </c>
      <c r="H59" t="s">
        <v>3065</v>
      </c>
      <c r="I59" s="3">
        <v>-195961093861493</v>
      </c>
      <c r="J59" t="s">
        <v>3066</v>
      </c>
      <c r="K59" t="s">
        <v>3067</v>
      </c>
      <c r="L59" t="s">
        <v>3068</v>
      </c>
      <c r="M59" t="s">
        <v>3069</v>
      </c>
      <c r="N59" t="s">
        <v>3070</v>
      </c>
      <c r="O59" t="s">
        <v>3071</v>
      </c>
      <c r="P59" t="s">
        <v>3072</v>
      </c>
      <c r="Q59" t="s">
        <v>3073</v>
      </c>
      <c r="R59" t="s">
        <v>3074</v>
      </c>
      <c r="S59" t="s">
        <v>3075</v>
      </c>
      <c r="T59" t="s">
        <v>3076</v>
      </c>
      <c r="U59" t="s">
        <v>3077</v>
      </c>
      <c r="V59" t="s">
        <v>3078</v>
      </c>
      <c r="W59" t="s">
        <v>3079</v>
      </c>
      <c r="X59" t="s">
        <v>3080</v>
      </c>
      <c r="Y59" t="s">
        <v>3081</v>
      </c>
      <c r="Z59" s="3">
        <v>-151411372205205</v>
      </c>
      <c r="AA59" t="s">
        <v>3082</v>
      </c>
      <c r="AB59" t="s">
        <v>3083</v>
      </c>
      <c r="AC59" s="3">
        <v>-201244623743529</v>
      </c>
      <c r="AD59" s="3">
        <v>-144675017744172</v>
      </c>
      <c r="AE59" t="s">
        <v>3084</v>
      </c>
      <c r="AF59" t="s">
        <v>3085</v>
      </c>
      <c r="AG59" s="3">
        <v>-190677563979456</v>
      </c>
    </row>
    <row r="62" spans="1:33" x14ac:dyDescent="0.25">
      <c r="A62" t="s">
        <v>1569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20</v>
      </c>
      <c r="J62" t="s">
        <v>21</v>
      </c>
      <c r="K62" t="s">
        <v>22</v>
      </c>
      <c r="L62" t="s">
        <v>23</v>
      </c>
      <c r="M62" t="s">
        <v>24</v>
      </c>
      <c r="N62" t="s">
        <v>25</v>
      </c>
      <c r="O62" t="s">
        <v>26</v>
      </c>
      <c r="P62" t="s">
        <v>27</v>
      </c>
      <c r="Q62" t="s">
        <v>28</v>
      </c>
      <c r="R62" t="s">
        <v>29</v>
      </c>
      <c r="S62" t="s">
        <v>30</v>
      </c>
      <c r="T62" t="s">
        <v>31</v>
      </c>
      <c r="U62" t="s">
        <v>32</v>
      </c>
      <c r="V62" t="s">
        <v>33</v>
      </c>
      <c r="W62" t="s">
        <v>34</v>
      </c>
      <c r="X62" t="s">
        <v>35</v>
      </c>
      <c r="Y62" t="s">
        <v>36</v>
      </c>
      <c r="Z62" t="s">
        <v>37</v>
      </c>
      <c r="AA62" t="s">
        <v>38</v>
      </c>
      <c r="AB62" t="s">
        <v>39</v>
      </c>
      <c r="AC62" t="s">
        <v>40</v>
      </c>
      <c r="AD62" t="s">
        <v>41</v>
      </c>
      <c r="AE62" t="s">
        <v>42</v>
      </c>
      <c r="AF62" t="s">
        <v>43</v>
      </c>
      <c r="AG62" t="s">
        <v>44</v>
      </c>
    </row>
    <row r="63" spans="1:33" x14ac:dyDescent="0.25">
      <c r="A63" t="s">
        <v>1570</v>
      </c>
      <c r="B63" t="s">
        <v>3086</v>
      </c>
      <c r="C63" t="s">
        <v>3087</v>
      </c>
      <c r="D63" t="s">
        <v>3088</v>
      </c>
      <c r="E63" t="s">
        <v>3089</v>
      </c>
      <c r="F63" t="s">
        <v>3090</v>
      </c>
      <c r="G63" s="3">
        <v>-600982346171316</v>
      </c>
      <c r="H63" t="s">
        <v>3091</v>
      </c>
      <c r="I63" s="3">
        <v>-751097348599206</v>
      </c>
      <c r="J63" t="s">
        <v>3092</v>
      </c>
      <c r="K63" t="s">
        <v>3093</v>
      </c>
      <c r="L63" t="s">
        <v>3094</v>
      </c>
      <c r="M63" s="5">
        <v>5494445168.4145098</v>
      </c>
      <c r="N63" t="s">
        <v>3095</v>
      </c>
      <c r="O63" t="s">
        <v>3096</v>
      </c>
      <c r="P63" t="s">
        <v>3097</v>
      </c>
      <c r="Q63" t="s">
        <v>3098</v>
      </c>
      <c r="R63" t="s">
        <v>3099</v>
      </c>
      <c r="S63" t="s">
        <v>3100</v>
      </c>
      <c r="T63" t="s">
        <v>3101</v>
      </c>
      <c r="U63" t="s">
        <v>3102</v>
      </c>
      <c r="V63" t="s">
        <v>3103</v>
      </c>
      <c r="W63" t="s">
        <v>3104</v>
      </c>
      <c r="X63" t="s">
        <v>3105</v>
      </c>
      <c r="Y63" t="s">
        <v>3106</v>
      </c>
      <c r="Z63" t="s">
        <v>3107</v>
      </c>
      <c r="AA63" s="3">
        <v>-616149981721286</v>
      </c>
      <c r="AB63" t="s">
        <v>3108</v>
      </c>
      <c r="AC63" s="3">
        <v>-770804384311975</v>
      </c>
      <c r="AD63" t="s">
        <v>3109</v>
      </c>
      <c r="AE63" s="3">
        <v>-585814710621345</v>
      </c>
      <c r="AF63" t="s">
        <v>3110</v>
      </c>
      <c r="AG63" s="3">
        <v>-731390312886437</v>
      </c>
    </row>
    <row r="64" spans="1:33" x14ac:dyDescent="0.25">
      <c r="A64">
        <v>3</v>
      </c>
      <c r="B64" t="s">
        <v>3111</v>
      </c>
      <c r="C64" t="s">
        <v>3112</v>
      </c>
      <c r="D64" t="s">
        <v>3113</v>
      </c>
      <c r="E64" t="s">
        <v>3114</v>
      </c>
      <c r="F64" t="s">
        <v>3115</v>
      </c>
      <c r="G64" s="3">
        <v>-470464261837545</v>
      </c>
      <c r="H64" t="s">
        <v>3116</v>
      </c>
      <c r="I64" s="3">
        <v>-581531729267174</v>
      </c>
      <c r="J64" t="s">
        <v>3117</v>
      </c>
      <c r="K64" t="s">
        <v>3118</v>
      </c>
      <c r="L64" t="s">
        <v>3119</v>
      </c>
      <c r="M64" t="s">
        <v>3120</v>
      </c>
      <c r="N64" t="s">
        <v>3121</v>
      </c>
      <c r="O64" t="s">
        <v>3122</v>
      </c>
      <c r="P64" t="s">
        <v>3123</v>
      </c>
      <c r="Q64" t="s">
        <v>3124</v>
      </c>
      <c r="R64" t="s">
        <v>3125</v>
      </c>
      <c r="S64" t="s">
        <v>3126</v>
      </c>
      <c r="T64" t="s">
        <v>3127</v>
      </c>
      <c r="U64" t="s">
        <v>3128</v>
      </c>
      <c r="V64" t="s">
        <v>3129</v>
      </c>
      <c r="W64" t="s">
        <v>3130</v>
      </c>
      <c r="X64" t="s">
        <v>3131</v>
      </c>
      <c r="Y64" t="s">
        <v>3132</v>
      </c>
      <c r="Z64" t="s">
        <v>3133</v>
      </c>
      <c r="AA64" s="3">
        <v>-480541556402774</v>
      </c>
      <c r="AB64" t="s">
        <v>3134</v>
      </c>
      <c r="AC64" s="3">
        <v>-594596888188909</v>
      </c>
      <c r="AD64" t="s">
        <v>3135</v>
      </c>
      <c r="AE64" s="3">
        <v>-460386967272316</v>
      </c>
      <c r="AF64" t="s">
        <v>3136</v>
      </c>
      <c r="AG64" s="3">
        <v>-56846657034544</v>
      </c>
    </row>
    <row r="65" spans="1:33" x14ac:dyDescent="0.25">
      <c r="A65">
        <v>5</v>
      </c>
      <c r="B65" t="s">
        <v>3137</v>
      </c>
      <c r="C65" t="s">
        <v>3138</v>
      </c>
      <c r="D65" t="s">
        <v>3139</v>
      </c>
      <c r="E65" t="s">
        <v>3140</v>
      </c>
      <c r="F65" t="s">
        <v>3141</v>
      </c>
      <c r="G65" s="3">
        <v>-375738627101194</v>
      </c>
      <c r="H65" t="s">
        <v>3142</v>
      </c>
      <c r="I65" s="3">
        <v>-458262514912733</v>
      </c>
      <c r="J65" t="s">
        <v>3143</v>
      </c>
      <c r="K65" t="s">
        <v>3144</v>
      </c>
      <c r="L65" t="s">
        <v>3145</v>
      </c>
      <c r="M65" t="s">
        <v>3146</v>
      </c>
      <c r="N65" t="s">
        <v>3147</v>
      </c>
      <c r="O65" t="s">
        <v>3148</v>
      </c>
      <c r="P65" t="s">
        <v>3149</v>
      </c>
      <c r="Q65" t="s">
        <v>3150</v>
      </c>
      <c r="R65" t="s">
        <v>3151</v>
      </c>
      <c r="S65" t="s">
        <v>3152</v>
      </c>
      <c r="T65" t="s">
        <v>3153</v>
      </c>
      <c r="U65" t="s">
        <v>3154</v>
      </c>
      <c r="V65" t="s">
        <v>3155</v>
      </c>
      <c r="W65" t="s">
        <v>3156</v>
      </c>
      <c r="X65" t="s">
        <v>3157</v>
      </c>
      <c r="Y65" t="s">
        <v>3158</v>
      </c>
      <c r="Z65" t="s">
        <v>3159</v>
      </c>
      <c r="AA65" s="3">
        <v>-382166602476088</v>
      </c>
      <c r="AB65" t="s">
        <v>3160</v>
      </c>
      <c r="AC65" s="3">
        <v>-466558467267455</v>
      </c>
      <c r="AD65" t="s">
        <v>3161</v>
      </c>
      <c r="AE65" s="3">
        <v>-369310651726301</v>
      </c>
      <c r="AF65" t="s">
        <v>3162</v>
      </c>
      <c r="AG65" s="3">
        <v>-449966562558011</v>
      </c>
    </row>
    <row r="66" spans="1:33" x14ac:dyDescent="0.25">
      <c r="A66">
        <v>8</v>
      </c>
      <c r="B66" t="s">
        <v>3163</v>
      </c>
      <c r="C66" t="s">
        <v>3164</v>
      </c>
      <c r="D66" t="s">
        <v>3165</v>
      </c>
      <c r="E66" t="s">
        <v>3166</v>
      </c>
      <c r="F66" t="s">
        <v>3167</v>
      </c>
      <c r="G66" s="3">
        <v>-240184349207263</v>
      </c>
      <c r="H66" t="s">
        <v>3168</v>
      </c>
      <c r="I66" s="3">
        <v>-280358626205539</v>
      </c>
      <c r="J66" t="s">
        <v>3169</v>
      </c>
      <c r="K66" t="s">
        <v>3170</v>
      </c>
      <c r="L66" t="s">
        <v>3171</v>
      </c>
      <c r="M66" t="s">
        <v>3172</v>
      </c>
      <c r="N66" t="s">
        <v>3173</v>
      </c>
      <c r="O66" t="s">
        <v>3174</v>
      </c>
      <c r="P66" t="s">
        <v>3175</v>
      </c>
      <c r="Q66" t="s">
        <v>3176</v>
      </c>
      <c r="R66" t="s">
        <v>3177</v>
      </c>
      <c r="S66" t="s">
        <v>3178</v>
      </c>
      <c r="T66" t="s">
        <v>3179</v>
      </c>
      <c r="U66" t="s">
        <v>3180</v>
      </c>
      <c r="V66" t="s">
        <v>3181</v>
      </c>
      <c r="W66" t="s">
        <v>3182</v>
      </c>
      <c r="X66" t="s">
        <v>3183</v>
      </c>
      <c r="Y66" t="s">
        <v>3184</v>
      </c>
      <c r="Z66" t="s">
        <v>3185</v>
      </c>
      <c r="AA66" s="3">
        <v>-24265457332397</v>
      </c>
      <c r="AB66" t="s">
        <v>3186</v>
      </c>
      <c r="AC66" s="3">
        <v>-283186174128397</v>
      </c>
      <c r="AD66" t="s">
        <v>3187</v>
      </c>
      <c r="AE66" s="3">
        <v>-237714125090557</v>
      </c>
      <c r="AF66" t="s">
        <v>3188</v>
      </c>
      <c r="AG66" s="3">
        <v>-277531078282681</v>
      </c>
    </row>
    <row r="67" spans="1:33" x14ac:dyDescent="0.25">
      <c r="A67">
        <v>10</v>
      </c>
      <c r="B67" t="s">
        <v>3189</v>
      </c>
      <c r="C67" t="s">
        <v>3190</v>
      </c>
      <c r="D67" t="s">
        <v>3191</v>
      </c>
      <c r="E67" t="s">
        <v>3192</v>
      </c>
      <c r="F67" t="s">
        <v>3193</v>
      </c>
      <c r="G67" s="3">
        <v>-16150529619654</v>
      </c>
      <c r="H67" s="3">
        <v>-111263908735947</v>
      </c>
      <c r="I67" s="3">
        <v>-171210113501943</v>
      </c>
      <c r="J67" t="s">
        <v>3194</v>
      </c>
      <c r="K67" t="s">
        <v>3195</v>
      </c>
      <c r="L67" t="s">
        <v>3196</v>
      </c>
      <c r="M67" t="s">
        <v>3197</v>
      </c>
      <c r="N67" t="s">
        <v>3198</v>
      </c>
      <c r="O67" t="s">
        <v>3199</v>
      </c>
      <c r="P67" t="s">
        <v>3200</v>
      </c>
      <c r="Q67" t="s">
        <v>3201</v>
      </c>
      <c r="R67" t="s">
        <v>3202</v>
      </c>
      <c r="S67" t="s">
        <v>3203</v>
      </c>
      <c r="T67" t="s">
        <v>3204</v>
      </c>
      <c r="U67" t="s">
        <v>3205</v>
      </c>
      <c r="V67" t="s">
        <v>3206</v>
      </c>
      <c r="W67" t="s">
        <v>3207</v>
      </c>
      <c r="X67" t="s">
        <v>3208</v>
      </c>
      <c r="Y67" t="s">
        <v>3209</v>
      </c>
      <c r="Z67" t="s">
        <v>3210</v>
      </c>
      <c r="AA67" s="3">
        <v>-165881168550296</v>
      </c>
      <c r="AB67" s="3">
        <v>-114398712032651</v>
      </c>
      <c r="AC67" s="3">
        <v>-176390920152447</v>
      </c>
      <c r="AD67" t="s">
        <v>3211</v>
      </c>
      <c r="AE67" s="3">
        <v>-157129423842783</v>
      </c>
      <c r="AF67" s="3">
        <v>-108129105439243</v>
      </c>
      <c r="AG67" s="3">
        <v>-166029306851439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Q2Q3_comparison</vt:lpstr>
      <vt:lpstr>Q2Q3_model_diagnostic</vt:lpstr>
      <vt:lpstr>Q2Q3_noranking</vt:lpstr>
      <vt:lpstr>Q2Q3_ranking</vt:lpstr>
      <vt:lpstr>proxy_comparison</vt:lpstr>
    </vt:vector>
  </TitlesOfParts>
  <Company>MPI for Demographic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Monus, Gergely</dc:creator>
  <cp:lastModifiedBy>Monus, Gergely</cp:lastModifiedBy>
  <dcterms:created xsi:type="dcterms:W3CDTF">2024-08-06T15:55:22Z</dcterms:created>
  <dcterms:modified xsi:type="dcterms:W3CDTF">2024-11-28T16:00:04Z</dcterms:modified>
</cp:coreProperties>
</file>